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Projects\professional\Cotation Scrapers\artifacts\input\"/>
    </mc:Choice>
  </mc:AlternateContent>
  <xr:revisionPtr revIDLastSave="0" documentId="13_ncr:1_{693CA3D1-6B86-4DF4-BEB0-9C38E91785A2}" xr6:coauthVersionLast="47" xr6:coauthVersionMax="47" xr10:uidLastSave="{00000000-0000-0000-0000-000000000000}"/>
  <bookViews>
    <workbookView xWindow="3840" yWindow="690" windowWidth="21600" windowHeight="11295" xr2:uid="{A45A7F95-3DFE-474D-B3AC-451CF6114AD3}"/>
  </bookViews>
  <sheets>
    <sheet name="DESTINATION CHARGES" sheetId="1" r:id="rId1"/>
    <sheet name="hapag_breakdowns" sheetId="2" r:id="rId2"/>
  </sheets>
  <definedNames>
    <definedName name="_xlnm._FilterDatabase" localSheetId="0" hidden="1">'DESTINATION CHARGES'!$A$1:$G$223</definedName>
    <definedName name="DadosExternos_1" localSheetId="1" hidden="1">hapag_breakdowns!$A$1:$K$275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C102" i="1"/>
  <c r="C103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375394-9B77-495A-864F-1ED85F96DA04}" keepAlive="1" name="Consulta - hapag_breakdowns" description="Conexão com a consulta 'hapag_breakdowns' na pasta de trabalho." type="5" refreshedVersion="8" background="1" saveData="1">
    <dbPr connection="Provider=Microsoft.Mashup.OleDb.1;Data Source=$Workbook$;Location=hapag_breakdowns;Extended Properties=&quot;&quot;" command="SELECT * FROM [hapag_breakdowns]"/>
  </connection>
</connections>
</file>

<file path=xl/sharedStrings.xml><?xml version="1.0" encoding="utf-8"?>
<sst xmlns="http://schemas.openxmlformats.org/spreadsheetml/2006/main" count="2053" uniqueCount="486">
  <si>
    <t>key</t>
  </si>
  <si>
    <t>origin</t>
  </si>
  <si>
    <t>destination</t>
  </si>
  <si>
    <t>last_attempt_at</t>
  </si>
  <si>
    <t>quoted_at</t>
  </si>
  <si>
    <t>status</t>
  </si>
  <si>
    <t>message</t>
  </si>
  <si>
    <t>Ocean Freight</t>
  </si>
  <si>
    <t>Export Surcharges</t>
  </si>
  <si>
    <t>Freight Surcharges</t>
  </si>
  <si>
    <t>Import Surcharges</t>
  </si>
  <si>
    <t>BRCCM-AGSJO</t>
  </si>
  <si>
    <t>BRCCM</t>
  </si>
  <si>
    <t>AGSJO</t>
  </si>
  <si>
    <t>error</t>
  </si>
  <si>
    <t>Erro inesperado durante cotação: TimeoutError('Locator.wait_for: Timeout 10000ms exceeded.\nCall log:\n  - waiting for get_by_text("BRCCM").first to be visible\n')</t>
  </si>
  <si>
    <t>BRCCM-BOLPB</t>
  </si>
  <si>
    <t>BOLPB</t>
  </si>
  <si>
    <t>Erro inesperado durante cotação: TargetClosedError('Page.goto: Target page, context or browser has been closed')</t>
  </si>
  <si>
    <t>BRCCM-BOSCS</t>
  </si>
  <si>
    <t>BOSCS</t>
  </si>
  <si>
    <t>BRCCM-FRLEH</t>
  </si>
  <si>
    <t>FRLEH</t>
  </si>
  <si>
    <t>BRCRS-AGSJO</t>
  </si>
  <si>
    <t>BRCRS</t>
  </si>
  <si>
    <t>Erro inesperado durante cotação: TimeoutError('Locator.wait_for: Timeout 10000ms exceeded.\nCall log:\n  - waiting for get_by_text("BRCRS").first to be visible\n')</t>
  </si>
  <si>
    <t>BRCRS-BOLPB</t>
  </si>
  <si>
    <t>BRCRS-BOSCS</t>
  </si>
  <si>
    <t>BRCRS-FRLEH</t>
  </si>
  <si>
    <t>BRIOA-CGPNR</t>
  </si>
  <si>
    <t>BRIOA</t>
  </si>
  <si>
    <t>CGPNR</t>
  </si>
  <si>
    <t>BRIOA-GHTEM</t>
  </si>
  <si>
    <t>GHTEM</t>
  </si>
  <si>
    <t>BRIOA-MXVCR</t>
  </si>
  <si>
    <t>MXVCR</t>
  </si>
  <si>
    <t>Erro inesperado durante cotação: TimeoutError('Locator.wait_for: Timeout 10000ms exceeded.\nCall log:\n  - waiting for get_by_text("MXVCR").first to be visible\n')</t>
  </si>
  <si>
    <t>BRIOA-ZAPLZ</t>
  </si>
  <si>
    <t>ZAPLZ</t>
  </si>
  <si>
    <t>no_quote</t>
  </si>
  <si>
    <t xml:space="preserve">Spot offer não encontrado ou rota sem cotação: Locator.wait_for: Timeout 15000ms exceeded.
Call log:
  - waiting for locator("button[data-testid=\"offer-card-select-button-spot\"]").first to be visible
</t>
  </si>
  <si>
    <t>BRNVT-AGSJO</t>
  </si>
  <si>
    <t>BRNVT</t>
  </si>
  <si>
    <t>BRNVT-ANWIL</t>
  </si>
  <si>
    <t>ANWIL</t>
  </si>
  <si>
    <t>Erro inesperado durante cotação: TimeoutError('Locator.wait_for: Timeout 10000ms exceeded.\nCall log:\n  - waiting for get_by_text("ANWIL").first to be visible\n')</t>
  </si>
  <si>
    <t>BRNVT-AOLAD</t>
  </si>
  <si>
    <t>AOLAD</t>
  </si>
  <si>
    <t>BRNVT-ARBUE</t>
  </si>
  <si>
    <t>ARBUE</t>
  </si>
  <si>
    <t>BRNVT-AUGEE</t>
  </si>
  <si>
    <t>AUGEE</t>
  </si>
  <si>
    <t>BRNVT-AUKIT</t>
  </si>
  <si>
    <t>AUKIT</t>
  </si>
  <si>
    <t>BRNVT-AWORJ</t>
  </si>
  <si>
    <t>AWORJ</t>
  </si>
  <si>
    <t>BRNVT-BBBGI</t>
  </si>
  <si>
    <t>BBBGI</t>
  </si>
  <si>
    <t>BRNVT-BQKRA</t>
  </si>
  <si>
    <t>BQKRA</t>
  </si>
  <si>
    <t>BRNVT-BSFPO</t>
  </si>
  <si>
    <t>BSFPO</t>
  </si>
  <si>
    <t>BRNVT-BSNAS</t>
  </si>
  <si>
    <t>BSNAS</t>
  </si>
  <si>
    <t>BRNVT-CASJF</t>
  </si>
  <si>
    <t>CASJF</t>
  </si>
  <si>
    <t>BRNVT-CGPNR</t>
  </si>
  <si>
    <t>BRNVT-CIABJ</t>
  </si>
  <si>
    <t>CIABJ</t>
  </si>
  <si>
    <t>success</t>
  </si>
  <si>
    <t/>
  </si>
  <si>
    <t>BRNVT-CLSCL</t>
  </si>
  <si>
    <t>CLSCL</t>
  </si>
  <si>
    <t>BRNVT-CMDLA</t>
  </si>
  <si>
    <t>CMDLA</t>
  </si>
  <si>
    <t>BRNVT-COCTG</t>
  </si>
  <si>
    <t>COCTG</t>
  </si>
  <si>
    <t>BRNVT-COMDD</t>
  </si>
  <si>
    <t>COMDD</t>
  </si>
  <si>
    <t>BRNVT-CRLIO</t>
  </si>
  <si>
    <t>CRLIO</t>
  </si>
  <si>
    <t>BRNVT-CRMOB</t>
  </si>
  <si>
    <t>CRMOB</t>
  </si>
  <si>
    <t>BRNVT-CRPVZ</t>
  </si>
  <si>
    <t>CRPVZ</t>
  </si>
  <si>
    <t>BRNVT-DMRSU</t>
  </si>
  <si>
    <t>DMRSU</t>
  </si>
  <si>
    <t>BRNVT-DOCAU</t>
  </si>
  <si>
    <t>DOCAU</t>
  </si>
  <si>
    <t>BRNVT-ECGYE</t>
  </si>
  <si>
    <t>ECGYE</t>
  </si>
  <si>
    <t>BRNVT-ESALG</t>
  </si>
  <si>
    <t>ESALG</t>
  </si>
  <si>
    <t>Erro inesperado durante cotação: TimeoutError('Locator.wait_for: Timeout 30000ms exceeded.\nCall log:\n  - waiting for locator("input[data-testid=\\"start-input\\"]") to be visible\n')</t>
  </si>
  <si>
    <t>BRNVT-ESBCN</t>
  </si>
  <si>
    <t>ESBCN</t>
  </si>
  <si>
    <t>BRNVT-ESMAD</t>
  </si>
  <si>
    <t>ESMAD</t>
  </si>
  <si>
    <t>BRNVT-FRLEH</t>
  </si>
  <si>
    <t>BRNVT-GBFXT</t>
  </si>
  <si>
    <t>GBFXT</t>
  </si>
  <si>
    <t>BRNVT-GBLGP</t>
  </si>
  <si>
    <t>GBLGP</t>
  </si>
  <si>
    <t>BRNVT-GDSTG</t>
  </si>
  <si>
    <t>GDSTG</t>
  </si>
  <si>
    <t>BRNVT-GHTEM</t>
  </si>
  <si>
    <t>BRNVT-GQSSG</t>
  </si>
  <si>
    <t>GQSSG</t>
  </si>
  <si>
    <t>BRNVT-GTPRQ</t>
  </si>
  <si>
    <t>GTPRQ</t>
  </si>
  <si>
    <t>BRNVT-HNPCR</t>
  </si>
  <si>
    <t>HNPCR</t>
  </si>
  <si>
    <t>BRNVT-HRRJK</t>
  </si>
  <si>
    <t>HRRJK</t>
  </si>
  <si>
    <t>BRNVT-HTCAP</t>
  </si>
  <si>
    <t>HTCAP</t>
  </si>
  <si>
    <t>BRNVT-HTXXX</t>
  </si>
  <si>
    <t>HTXXX</t>
  </si>
  <si>
    <t>Erro inesperado durante cotação: TimeoutError('Locator.wait_for: Timeout 10000ms exceeded.\nCall log:\n  - waiting for get_by_text("HTXXX").first to be visible\n')</t>
  </si>
  <si>
    <t>BRNVT-JMKIN</t>
  </si>
  <si>
    <t>JMKIN</t>
  </si>
  <si>
    <t>BRNVT-KNBAS</t>
  </si>
  <si>
    <t>KNBAS</t>
  </si>
  <si>
    <t>BRNVT-LCCAS</t>
  </si>
  <si>
    <t>LCCAS</t>
  </si>
  <si>
    <t>BRNVT-LRMLW</t>
  </si>
  <si>
    <t>LRMLW</t>
  </si>
  <si>
    <t>BRNVT-MEBAR</t>
  </si>
  <si>
    <t>MEBAR</t>
  </si>
  <si>
    <t>BRNVT-MMVIC</t>
  </si>
  <si>
    <t>MMVIC</t>
  </si>
  <si>
    <t>Erro inesperado durante cotação: TimeoutError('Locator.wait_for: Timeout 10000ms exceeded.\nCall log:\n  - waiting for get_by_text("MMVIC").first to be visible\n')</t>
  </si>
  <si>
    <t>BRNVT-MUPLU</t>
  </si>
  <si>
    <t>MUPLU</t>
  </si>
  <si>
    <t>BRNVT-MXATM</t>
  </si>
  <si>
    <t>MXATM</t>
  </si>
  <si>
    <t>BRNVT-MZBEW</t>
  </si>
  <si>
    <t>MZBEW</t>
  </si>
  <si>
    <t>BRNVT-MZMPM</t>
  </si>
  <si>
    <t>MZMPM</t>
  </si>
  <si>
    <t>BRNVT-NICIO</t>
  </si>
  <si>
    <t>NICIO</t>
  </si>
  <si>
    <t>BRNVT-PABLB</t>
  </si>
  <si>
    <t>PABLB</t>
  </si>
  <si>
    <t>BRNVT-PACTB</t>
  </si>
  <si>
    <t>PACTB</t>
  </si>
  <si>
    <t>BRNVT-PECLL</t>
  </si>
  <si>
    <t>PECLL</t>
  </si>
  <si>
    <t>BRNVT-PRSJU</t>
  </si>
  <si>
    <t>PRSJU</t>
  </si>
  <si>
    <t>BRNVT-PTLIS</t>
  </si>
  <si>
    <t>PTLIS</t>
  </si>
  <si>
    <t>BRNVT-PYASU</t>
  </si>
  <si>
    <t>PYASU</t>
  </si>
  <si>
    <t>BRNVT-ROCND</t>
  </si>
  <si>
    <t>ROCND</t>
  </si>
  <si>
    <t>BRNVT-SLFNA</t>
  </si>
  <si>
    <t>SLFNA</t>
  </si>
  <si>
    <t>BRNVT-SNDKR</t>
  </si>
  <si>
    <t>SNDKR</t>
  </si>
  <si>
    <t>BRNVT-SRPBM</t>
  </si>
  <si>
    <t>SRPBM</t>
  </si>
  <si>
    <t>BRNVT-TCPLS</t>
  </si>
  <si>
    <t>TCPLS</t>
  </si>
  <si>
    <t>BRNVT-TTPOS</t>
  </si>
  <si>
    <t>TTPOS</t>
  </si>
  <si>
    <t>BRNVT-US3WJ</t>
  </si>
  <si>
    <t>US3WJ</t>
  </si>
  <si>
    <t>BRNVT-US4ID</t>
  </si>
  <si>
    <t>US4ID</t>
  </si>
  <si>
    <t>Erro inesperado durante cotação: TimeoutError('Locator.wait_for: Timeout 10000ms exceeded.\nCall log:\n  - waiting for get_by_text("US4ID").first to be visible\n')</t>
  </si>
  <si>
    <t>BRNVT-US4QC</t>
  </si>
  <si>
    <t>US4QC</t>
  </si>
  <si>
    <t>BRNVT-US514</t>
  </si>
  <si>
    <t>US514</t>
  </si>
  <si>
    <t>BRNVT-US53E</t>
  </si>
  <si>
    <t>US53E</t>
  </si>
  <si>
    <t>Erro inesperado durante cotação: TimeoutError('Locator.wait_for: Timeout 10000ms exceeded.\nCall log:\n  - waiting for get_by_text("US53E").first to be visible\n')</t>
  </si>
  <si>
    <t>BRNVT-US5WT</t>
  </si>
  <si>
    <t>US5WT</t>
  </si>
  <si>
    <t>BRNVT-USBJT</t>
  </si>
  <si>
    <t>USBJT</t>
  </si>
  <si>
    <t>BRNVT-USCHS</t>
  </si>
  <si>
    <t>USCHS</t>
  </si>
  <si>
    <t>BRNVT-USHOU</t>
  </si>
  <si>
    <t>USHOU</t>
  </si>
  <si>
    <t>BRNVT-USLAX</t>
  </si>
  <si>
    <t>USLAX</t>
  </si>
  <si>
    <t>BRNVT-USMVE</t>
  </si>
  <si>
    <t>USMVE</t>
  </si>
  <si>
    <t>BRNVT-USNYC</t>
  </si>
  <si>
    <t>USNYC</t>
  </si>
  <si>
    <t>BRNVT-USNYU</t>
  </si>
  <si>
    <t>USNYU</t>
  </si>
  <si>
    <t>BRNVT-USPEF</t>
  </si>
  <si>
    <t>USPEF</t>
  </si>
  <si>
    <t>BRNVT-UYMVD</t>
  </si>
  <si>
    <t>UYMVD</t>
  </si>
  <si>
    <t>BRNVT-VCCRP</t>
  </si>
  <si>
    <t>VCCRP</t>
  </si>
  <si>
    <t>BRNVT-VCKTN</t>
  </si>
  <si>
    <t>VCKTN</t>
  </si>
  <si>
    <t>Erro inesperado durante cotação: TimeoutError('Locator.wait_for: Timeout 10000ms exceeded.\nCall log:\n  - waiting for get_by_text("VCKTN").first to be visible\n')</t>
  </si>
  <si>
    <t>BRNVT-VELAG</t>
  </si>
  <si>
    <t>VELAG</t>
  </si>
  <si>
    <t>BRNVT-VEPBL</t>
  </si>
  <si>
    <t>VEPBL</t>
  </si>
  <si>
    <t>BRNVT-VGRAD</t>
  </si>
  <si>
    <t>VGRAD</t>
  </si>
  <si>
    <t>BRNVT-VICHA</t>
  </si>
  <si>
    <t>VICHA</t>
  </si>
  <si>
    <t>Erro inesperado durante cotação: TimeoutError('Locator.wait_for: Timeout 10000ms exceeded.\nCall log:\n  - waiting for get_by_text("VICHA").first to be visible\n')</t>
  </si>
  <si>
    <t>BRNVT-ZACPT</t>
  </si>
  <si>
    <t>ZACPT</t>
  </si>
  <si>
    <t>BRNVT-ZADUR</t>
  </si>
  <si>
    <t>ZADUR</t>
  </si>
  <si>
    <t>BRNVT-ZAPLZ</t>
  </si>
  <si>
    <t>BRPNG-GTPRQ</t>
  </si>
  <si>
    <t>BRPNG</t>
  </si>
  <si>
    <t>BRPNG-HRRJK</t>
  </si>
  <si>
    <t>BRSSA-ANWIL</t>
  </si>
  <si>
    <t>BRSSA</t>
  </si>
  <si>
    <t>BRSSA-AOLAD</t>
  </si>
  <si>
    <t>BRSSA-ARBUE</t>
  </si>
  <si>
    <t>BRSSA-AUGEE</t>
  </si>
  <si>
    <t>BRSSA-AUKIT</t>
  </si>
  <si>
    <t>BRSSA-AWORJ</t>
  </si>
  <si>
    <t>BRSSA-BBBGI</t>
  </si>
  <si>
    <t>BRSSA-BOLPB</t>
  </si>
  <si>
    <t>BRSSA-BOSCS</t>
  </si>
  <si>
    <t>Erro inesperado durante cotação: TimeoutError('Locator.wait_for: Timeout 10000ms exceeded.\nCall log:\n  - waiting for get_by_text("BOSCS").first to be visible\n')</t>
  </si>
  <si>
    <t>BRSSA-BQKRA</t>
  </si>
  <si>
    <t>BRSSA-BSFPO</t>
  </si>
  <si>
    <t>BRSSA-BSNAS</t>
  </si>
  <si>
    <t>BRSSA-CASJF</t>
  </si>
  <si>
    <t>BRSSA-CGPNR</t>
  </si>
  <si>
    <t>BRSSA-CIABJ</t>
  </si>
  <si>
    <t>BRSSA-CLSCL</t>
  </si>
  <si>
    <t>BRSSA-CMDLA</t>
  </si>
  <si>
    <t>BRSSA-COCTG</t>
  </si>
  <si>
    <t>BRSSA-COMDD</t>
  </si>
  <si>
    <t>BRSSA-CRLIO</t>
  </si>
  <si>
    <t>BRSSA-CRMOB</t>
  </si>
  <si>
    <t>BRSSA-CRPVZ</t>
  </si>
  <si>
    <t>BRSSA-DMRSU</t>
  </si>
  <si>
    <t>BRSSA-DOCAU</t>
  </si>
  <si>
    <t>BRSSA-ECGYE</t>
  </si>
  <si>
    <t>BRSSA-ESALG</t>
  </si>
  <si>
    <t>BRSSA-ESBCN</t>
  </si>
  <si>
    <t>BRSSA-ESMAD</t>
  </si>
  <si>
    <t>BRSSA-FRLEH</t>
  </si>
  <si>
    <t>BRSSA-GBFXT</t>
  </si>
  <si>
    <t>BRSSA-GBLGP</t>
  </si>
  <si>
    <t>Erro inesperado durante cotação: TimeoutError('Locator.click: Timeout 30000ms exceeded.\nCall log:\n  - waiting for locator("input[data-testid=\\"start-input\\"]")\n    - locator resolved to &lt;input disabled tabindex="0" type="search" placeholder="" role="combobox" autocomplete="off" aria-readonly="false" aria-expanded="false" value="SANTOS (BRSSZ)" aria-autocomplete="list" data-testid="start-input" aria-label="Start Location (Routing 1)" class="q-field__input q-placeholder col" id="f_b494c0a2-2cb2-44e1-aea0-7d60a1b46f3e" aria-controls="f_b494c0a2-2cb2-44e1-aea0-7d60a1b46f3e_lb"/&gt;\n  - attempting click action\n    2 × waiting for element to be visible, enabled and stable\n      - element is not enabled\n    - retrying click action\n    - waiting 20ms\n    2 × waiting for element to be visible, enabled and stable\n      - element is not enabled\n    - retrying click action\n      - waiting 100ms\n    2 × waiting for element to be visible, enabled and stable\n      - element is not enabled\n    - retrying click action\n      - waiting 500ms\n    - waiting for element to be visible, enabled and stable\n  - element was detached from the DOM, retrying\n')</t>
  </si>
  <si>
    <t>BRSSA-GDSTG</t>
  </si>
  <si>
    <t>BRSSA-GHTEM</t>
  </si>
  <si>
    <t>BRSSA-GQSSG</t>
  </si>
  <si>
    <t>BRSSA-GTPRQ</t>
  </si>
  <si>
    <t>BRSSA-HNPCR</t>
  </si>
  <si>
    <t>BRSSA-HRRJK</t>
  </si>
  <si>
    <t>BRSSA-HTCAP</t>
  </si>
  <si>
    <t>BRSSA-HTXXX</t>
  </si>
  <si>
    <t>BRSSA-JMKIN</t>
  </si>
  <si>
    <t>BRSSA-KNBAS</t>
  </si>
  <si>
    <t>BRSSA-LCCAS</t>
  </si>
  <si>
    <t>BRSSA-LRMLW</t>
  </si>
  <si>
    <t>BRSSA-MEBAR</t>
  </si>
  <si>
    <t>BRSSA-MMVIC</t>
  </si>
  <si>
    <t>BRSSA-MUPLU</t>
  </si>
  <si>
    <t>BRSSA-MXATM</t>
  </si>
  <si>
    <t>BRSSA-MXVCR</t>
  </si>
  <si>
    <t>BRSSA-MZBEW</t>
  </si>
  <si>
    <t>BRSSA-MZMPM</t>
  </si>
  <si>
    <t>BRSSA-NICIO</t>
  </si>
  <si>
    <t>BRSSA-PABLB</t>
  </si>
  <si>
    <t>BRSSA-PACTB</t>
  </si>
  <si>
    <t>BRSSA-PECLL</t>
  </si>
  <si>
    <t>BRSSA-PRSJU</t>
  </si>
  <si>
    <t>BRSSA-PTLIS</t>
  </si>
  <si>
    <t>BRSSA-PYASU</t>
  </si>
  <si>
    <t>BRSSA-ROCND</t>
  </si>
  <si>
    <t>BRSSA-SLFNA</t>
  </si>
  <si>
    <t>BRSSA-SNDKR</t>
  </si>
  <si>
    <t>BRSSA-SRPBM</t>
  </si>
  <si>
    <t>BRSSA-TCPLS</t>
  </si>
  <si>
    <t>BRSSA-TTPOS</t>
  </si>
  <si>
    <t>BRSSA-US3WJ</t>
  </si>
  <si>
    <t>BRSSA-US4ID</t>
  </si>
  <si>
    <t>BRSSA-US4QC</t>
  </si>
  <si>
    <t>BRSSA-US514</t>
  </si>
  <si>
    <t>BRSSA-US53E</t>
  </si>
  <si>
    <t>BRSSA-US5WT</t>
  </si>
  <si>
    <t>BRSSA-USBJT</t>
  </si>
  <si>
    <t>BRSSA-USCHS</t>
  </si>
  <si>
    <t>BRSSA-USHOU</t>
  </si>
  <si>
    <t>BRSSA-USLAX</t>
  </si>
  <si>
    <t>BRSSA-USMVE</t>
  </si>
  <si>
    <t>BRSSA-USNYC</t>
  </si>
  <si>
    <t>BRSSA-USNYU</t>
  </si>
  <si>
    <t>BRSSA-USPEF</t>
  </si>
  <si>
    <t>BRSSA-UYMVD</t>
  </si>
  <si>
    <t>BRSSA-VCCRP</t>
  </si>
  <si>
    <t>BRSSA-VCKTN</t>
  </si>
  <si>
    <t>BRSSA-VELAG</t>
  </si>
  <si>
    <t>BRSSA-VEPBL</t>
  </si>
  <si>
    <t>BRSSA-VGRAD</t>
  </si>
  <si>
    <t>BRSSA-VICHA</t>
  </si>
  <si>
    <t>BRSSA-ZACPT</t>
  </si>
  <si>
    <t>BRSSA-ZADUR</t>
  </si>
  <si>
    <t>BRSSA-ZAPLZ</t>
  </si>
  <si>
    <t>BRSSZ-ANWIL</t>
  </si>
  <si>
    <t>BRSSZ</t>
  </si>
  <si>
    <t>BRSSZ-AOLAD</t>
  </si>
  <si>
    <t>BRSSZ-ARBUE</t>
  </si>
  <si>
    <t>BRSSZ-AUGEE</t>
  </si>
  <si>
    <t>BRSSZ-AUKIT</t>
  </si>
  <si>
    <t>BRSSZ-AWORJ</t>
  </si>
  <si>
    <t>BRSSZ-BBBGI</t>
  </si>
  <si>
    <t>BRSSZ-BOLPB</t>
  </si>
  <si>
    <t>BRSSZ-BOSCS</t>
  </si>
  <si>
    <t>BRSSZ-BQKRA</t>
  </si>
  <si>
    <t>BRSSZ-BSFPO</t>
  </si>
  <si>
    <t>BRSSZ-BSNAS</t>
  </si>
  <si>
    <t>BRSSZ-CASJF</t>
  </si>
  <si>
    <t>BRSSZ-CGPNR</t>
  </si>
  <si>
    <t>BRSSZ-CIABJ</t>
  </si>
  <si>
    <t>BRSSZ-CLSCL</t>
  </si>
  <si>
    <t>BRSSZ-CMDLA</t>
  </si>
  <si>
    <t>BRSSZ-COCTG</t>
  </si>
  <si>
    <t>BRSSZ-COMDD</t>
  </si>
  <si>
    <t>BRSSZ-CRLIO</t>
  </si>
  <si>
    <t>BRSSZ-CRMOB</t>
  </si>
  <si>
    <t>BRSSZ-CRPVZ</t>
  </si>
  <si>
    <t>BRSSZ-DMRSU</t>
  </si>
  <si>
    <t>BRSSZ-DOCAU</t>
  </si>
  <si>
    <t>BRSSZ-ECGYE</t>
  </si>
  <si>
    <t>BRSSZ-ESALG</t>
  </si>
  <si>
    <t>BRSSZ-ESBCN</t>
  </si>
  <si>
    <t>BRSSZ-ESMAD</t>
  </si>
  <si>
    <t>BRSSZ-FRLEH</t>
  </si>
  <si>
    <t>BRSSZ-GBFXT</t>
  </si>
  <si>
    <t>BRSSZ-GBLGP</t>
  </si>
  <si>
    <t>BRSSZ-GDSTG</t>
  </si>
  <si>
    <t>BRSSZ-GHTEM</t>
  </si>
  <si>
    <t>BRSSZ-GQSSG</t>
  </si>
  <si>
    <t>BRSSZ-GTPRQ</t>
  </si>
  <si>
    <t>BRSSZ-GYGEO</t>
  </si>
  <si>
    <t>GYGEO</t>
  </si>
  <si>
    <t>BRSSZ-HNPCR</t>
  </si>
  <si>
    <t>BRSSZ-HRRJK</t>
  </si>
  <si>
    <t>BRSSZ-HTCAP</t>
  </si>
  <si>
    <t>BRSSZ-HTXXX</t>
  </si>
  <si>
    <t>BRSSZ-JMKIN</t>
  </si>
  <si>
    <t>BRSSZ-KNBAS</t>
  </si>
  <si>
    <t>BRSSZ-LCCAS</t>
  </si>
  <si>
    <t>BRSSZ-LRMLW</t>
  </si>
  <si>
    <t>BRSSZ-MEBAR</t>
  </si>
  <si>
    <t>BRSSZ-MMVIC</t>
  </si>
  <si>
    <t>BRSSZ-MUPLU</t>
  </si>
  <si>
    <t>BRSSZ-MXATM</t>
  </si>
  <si>
    <t>BRSSZ-MXVCR</t>
  </si>
  <si>
    <t>BRSSZ-MZBEW</t>
  </si>
  <si>
    <t>BRSSZ-MZMPM</t>
  </si>
  <si>
    <t>BRSSZ-NICIO</t>
  </si>
  <si>
    <t>BRSSZ-PABLB</t>
  </si>
  <si>
    <t>BRSSZ-PACTB</t>
  </si>
  <si>
    <t>BRSSZ-PECLL</t>
  </si>
  <si>
    <t>BRSSZ-PRSJU</t>
  </si>
  <si>
    <t>BRSSZ-PTLIS</t>
  </si>
  <si>
    <t>BRSSZ-PYASU</t>
  </si>
  <si>
    <t>BRSSZ-ROCND</t>
  </si>
  <si>
    <t>BRSSZ-SLFNA</t>
  </si>
  <si>
    <t>BRSSZ-SNDKR</t>
  </si>
  <si>
    <t>BRSSZ-SRPBM</t>
  </si>
  <si>
    <t>BRSSZ-TCPLS</t>
  </si>
  <si>
    <t>BRSSZ-TTPOS</t>
  </si>
  <si>
    <t>BRSSZ-US3WJ</t>
  </si>
  <si>
    <t>BRSSZ-US4ID</t>
  </si>
  <si>
    <t>BRSSZ-US4QC</t>
  </si>
  <si>
    <t>BRSSZ-US514</t>
  </si>
  <si>
    <t>BRSSZ-US53E</t>
  </si>
  <si>
    <t>BRSSZ-US5WT</t>
  </si>
  <si>
    <t>BRSSZ-USBJT</t>
  </si>
  <si>
    <t>BRSSZ-USCHS</t>
  </si>
  <si>
    <t>BRSSZ-USHOU</t>
  </si>
  <si>
    <t>BRSSZ-USLAX</t>
  </si>
  <si>
    <t>BRSSZ-USMVE</t>
  </si>
  <si>
    <t>BRSSZ-USNYC</t>
  </si>
  <si>
    <t>BRSSZ-USNYU</t>
  </si>
  <si>
    <t>BRSSZ-USPEF</t>
  </si>
  <si>
    <t>BRSSZ-UYMVD</t>
  </si>
  <si>
    <t>BRSSZ-VCCRP</t>
  </si>
  <si>
    <t>BRSSZ-VCKTN</t>
  </si>
  <si>
    <t>BRSSZ-VELAG</t>
  </si>
  <si>
    <t>BRSSZ-VEPBL</t>
  </si>
  <si>
    <t>BRSSZ-VGRAD</t>
  </si>
  <si>
    <t>BRSSZ-VICHA</t>
  </si>
  <si>
    <t>BRSSZ-ZACPT</t>
  </si>
  <si>
    <t>BRSSZ-ZADUR</t>
  </si>
  <si>
    <t>BRSSZ-ZAPLZ</t>
  </si>
  <si>
    <t>ORIGEM</t>
  </si>
  <si>
    <t>PORTO DE DESTINO</t>
  </si>
  <si>
    <t>porto de comparação</t>
  </si>
  <si>
    <t>indexador</t>
  </si>
  <si>
    <t>Santos (Sao Paulo), Brazil</t>
  </si>
  <si>
    <t>Abidjan, Ivory Coast</t>
  </si>
  <si>
    <t>Salvador (Bahia), Brazil</t>
  </si>
  <si>
    <t>Navegantes (Santa Catarina), Brazil</t>
  </si>
  <si>
    <t>Algeciras, Spain</t>
  </si>
  <si>
    <t>Asuncion, Paraguay</t>
  </si>
  <si>
    <t>Balboa, Panama</t>
  </si>
  <si>
    <t>Bar, Montenegro</t>
  </si>
  <si>
    <t>Barcelona, Spain</t>
  </si>
  <si>
    <t>Basseterre, St Kitts-Nevis</t>
  </si>
  <si>
    <t>Beira, Mozambique</t>
  </si>
  <si>
    <t>KRALENDIJK, BONAIRE</t>
  </si>
  <si>
    <t>Bridgetown, Barbados</t>
  </si>
  <si>
    <t>Buenos Aires (Buenos Aires), Argentina</t>
  </si>
  <si>
    <t>Callao, Peru</t>
  </si>
  <si>
    <t>Campden Park, Saint Vincent and the Grenadines</t>
  </si>
  <si>
    <t>Cap Haitien, Haiti</t>
  </si>
  <si>
    <t>Cape Town (Western Cape), South Africa</t>
  </si>
  <si>
    <t>Cartagena (Bolivar), Colombia</t>
  </si>
  <si>
    <t>Castries (Herault), France</t>
  </si>
  <si>
    <t>Caucedo, Dominican Republic</t>
  </si>
  <si>
    <t>Charleston (South Carolina), United States</t>
  </si>
  <si>
    <t>Charlotte Amalie, Virgin Islands (US)</t>
  </si>
  <si>
    <t>Constanta (Constanta), Romania</t>
  </si>
  <si>
    <t>Corinto, Nicaragua</t>
  </si>
  <si>
    <t>Cristobal, Panama</t>
  </si>
  <si>
    <t>Dakar, Senegal</t>
  </si>
  <si>
    <t>Douala, Cameroon</t>
  </si>
  <si>
    <t>Durban (KwaZulu-Natal), South Africa</t>
  </si>
  <si>
    <t>Felixstowe, United Kingdom</t>
  </si>
  <si>
    <t>Georgetown, Guyana</t>
  </si>
  <si>
    <t>Guayaquil, Ecuador</t>
  </si>
  <si>
    <t>Houston (Texas), United States</t>
  </si>
  <si>
    <t>Kingston, Jamaica</t>
  </si>
  <si>
    <t>La Guaira, Venezuela</t>
  </si>
  <si>
    <t>La Paz, Bolivia</t>
  </si>
  <si>
    <t>Le Havre (Seine-Maritime), France</t>
  </si>
  <si>
    <t>Lisbon, Portugal</t>
  </si>
  <si>
    <t>London Gateway, United Kingdom</t>
  </si>
  <si>
    <t>Los Angeles (California), United States</t>
  </si>
  <si>
    <t>Luanda, Angola</t>
  </si>
  <si>
    <t>Madrid, Spain</t>
  </si>
  <si>
    <t>Malabo, Equatorial Guinea</t>
  </si>
  <si>
    <t>Maputo, Mozambique</t>
  </si>
  <si>
    <t>Monrovia, Liberia</t>
  </si>
  <si>
    <t>Montevideo, Uruguay</t>
  </si>
  <si>
    <t>Nassau, Bahamas</t>
  </si>
  <si>
    <t>New York (New York), United States</t>
  </si>
  <si>
    <t>Oranjestad, Aruba</t>
  </si>
  <si>
    <t>Paramaribo, Suriname</t>
  </si>
  <si>
    <t>Pointe Noire, Congo</t>
  </si>
  <si>
    <t>Port Elizabeth (Eastern Cape), South Africa</t>
  </si>
  <si>
    <t>Itapoa (Santa Catarina), Brazil</t>
  </si>
  <si>
    <t>Port Everglades (Florida), United States</t>
  </si>
  <si>
    <t>Port-au-Prince, Haiti</t>
  </si>
  <si>
    <t>Providenciales, Turks and Caicos</t>
  </si>
  <si>
    <t>Puerto Cortes, Honduras</t>
  </si>
  <si>
    <t>Puerto Limon, Costa Rica</t>
  </si>
  <si>
    <t>Puerto Moin, Costa Rica</t>
  </si>
  <si>
    <t>Puerto Quetzal, Guatemala</t>
  </si>
  <si>
    <t>Rijeka, Croatia</t>
  </si>
  <si>
    <t>Paranagua (Parana), Brazil</t>
  </si>
  <si>
    <t>Road Town, Virgin Islands (Br.)</t>
  </si>
  <si>
    <t>Roseau, Dominica</t>
  </si>
  <si>
    <t>Saint George, Grenada</t>
  </si>
  <si>
    <t>San Antonio, Chile</t>
  </si>
  <si>
    <t>San Juan, Puerto Rico</t>
  </si>
  <si>
    <t>Puerto Cabello, Venezuela</t>
  </si>
  <si>
    <t>Santa Cruz De La Sierra, Bolivia</t>
  </si>
  <si>
    <t>Tema, Ghana</t>
  </si>
  <si>
    <t>Victoria Point, Myanmar</t>
  </si>
  <si>
    <t>Willemstad, Curacao</t>
  </si>
  <si>
    <t>DESTINATION CHARGES</t>
  </si>
  <si>
    <t>USA</t>
  </si>
  <si>
    <t>Altamira (Tamaulipas), Mexico</t>
  </si>
  <si>
    <t>Freeport, Bahamas</t>
  </si>
  <si>
    <t>Freetown, Sierra Leone</t>
  </si>
  <si>
    <t>Kingstown, Saint Vincent and the Grenadines</t>
  </si>
  <si>
    <t>Port Louis, Mauritius</t>
  </si>
  <si>
    <t>Port of Spain-Trinidad, Trinidad and Tobago</t>
  </si>
  <si>
    <t>St Johns, Antigua and Barbuda</t>
  </si>
  <si>
    <t>Veracruz (Veracruz Llave),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</si>
</sst>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0" fontId="1" fillId="0" borderId="1" xfId="0" applyFont="1" applyBorder="1"/>
    <xf numFmtId="0" fontId="2" fillId="0" borderId="0" xfId="0" applyFont="1"/>
    <xf numFmtId="0" fontId="3" fillId="0" borderId="0" xfId="0" applyFont="1"/>
    <xf numFmtId="0" fontId="0" fillId="2" borderId="2" xfId="0" applyFill="1" applyBorder="1"/>
    <xf numFmtId="0" fontId="0" fillId="0" borderId="2" xfId="0" applyBorder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88D78CC5-B475-41C4-AF34-BE1E07A90B1B}" autoFormatId="16" applyNumberFormats="0" applyBorderFormats="0" applyFontFormats="0" applyPatternFormats="0" applyAlignmentFormats="0" applyWidthHeightFormats="0">
  <queryTableRefresh nextId="12">
    <queryTableFields count="11">
      <queryTableField id="1" name="key" tableColumnId="1"/>
      <queryTableField id="2" name="origin" tableColumnId="2"/>
      <queryTableField id="3" name="destination" tableColumnId="3"/>
      <queryTableField id="4" name="last_attempt_at" tableColumnId="4"/>
      <queryTableField id="5" name="quoted_at" tableColumnId="5"/>
      <queryTableField id="6" name="status" tableColumnId="6"/>
      <queryTableField id="7" name="message" tableColumnId="7"/>
      <queryTableField id="8" name="Ocean Freight" tableColumnId="8"/>
      <queryTableField id="9" name="Export Surcharges" tableColumnId="9"/>
      <queryTableField id="10" name="Freight Surcharges" tableColumnId="10"/>
      <queryTableField id="11" name="Import Surcharge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C91396-97AC-45E6-9A0D-6CCFE18D1D46}" name="hapag_breakdowns" displayName="hapag_breakdowns" ref="A1:K275" tableType="queryTable" totalsRowShown="0">
  <autoFilter ref="A1:K275" xr:uid="{2EC91396-97AC-45E6-9A0D-6CCFE18D1D46}"/>
  <tableColumns count="11">
    <tableColumn id="1" xr3:uid="{20099C2F-4BAD-4820-B67C-6F244A8E7AEA}" uniqueName="1" name="key" queryTableFieldId="1" dataDxfId="6"/>
    <tableColumn id="2" xr3:uid="{DB15FC3B-8A38-49BE-868F-D23493449C27}" uniqueName="2" name="origin" queryTableFieldId="2" dataDxfId="5"/>
    <tableColumn id="3" xr3:uid="{0C182601-101B-4B9A-868F-5EC95C5149AE}" uniqueName="3" name="destination" queryTableFieldId="3" dataDxfId="4"/>
    <tableColumn id="4" xr3:uid="{6067B1F7-DDFC-4223-A1E4-E26BA76CE194}" uniqueName="4" name="last_attempt_at" queryTableFieldId="4" dataDxfId="3"/>
    <tableColumn id="5" xr3:uid="{EC3B9BA3-4364-4DF3-B09E-0D856B782793}" uniqueName="5" name="quoted_at" queryTableFieldId="5" dataDxfId="2"/>
    <tableColumn id="6" xr3:uid="{695BDD89-BE2C-40F2-83FE-B903401258D2}" uniqueName="6" name="status" queryTableFieldId="6" dataDxfId="1"/>
    <tableColumn id="7" xr3:uid="{80A0662E-23A0-45F5-A9AD-5222112E9617}" uniqueName="7" name="message" queryTableFieldId="7" dataDxfId="0"/>
    <tableColumn id="8" xr3:uid="{331E55F9-F37C-4E89-8A8A-2942F5823E4C}" uniqueName="8" name="Ocean Freight" queryTableFieldId="8"/>
    <tableColumn id="9" xr3:uid="{C32F493B-41D9-4C0C-AB03-D353502A3A36}" uniqueName="9" name="Export Surcharges" queryTableFieldId="9"/>
    <tableColumn id="10" xr3:uid="{4052EDD7-B55B-40BE-A5E4-13BE748ED0D4}" uniqueName="10" name="Freight Surcharges" queryTableFieldId="10"/>
    <tableColumn id="11" xr3:uid="{B75A9C5D-B315-4DA8-811A-E379E8C39F7C}" uniqueName="11" name="Import Surcharges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E1B90-6E61-4BB3-AFF3-1BA9EFF97C8A}">
  <dimension ref="A1:G223"/>
  <sheetViews>
    <sheetView tabSelected="1" topLeftCell="B166" workbookViewId="0">
      <selection activeCell="C171" sqref="C171"/>
    </sheetView>
  </sheetViews>
  <sheetFormatPr defaultRowHeight="15" x14ac:dyDescent="0.25"/>
  <cols>
    <col min="1" max="1" width="32.85546875" bestFit="1" customWidth="1"/>
    <col min="2" max="2" width="45" bestFit="1" customWidth="1"/>
    <col min="3" max="3" width="59.5703125" customWidth="1"/>
    <col min="4" max="4" width="22.42578125" bestFit="1" customWidth="1"/>
    <col min="5" max="5" width="12.28515625" bestFit="1" customWidth="1"/>
    <col min="6" max="6" width="25.42578125" bestFit="1" customWidth="1"/>
  </cols>
  <sheetData>
    <row r="1" spans="1:7" x14ac:dyDescent="0.25">
      <c r="A1" s="2" t="s">
        <v>400</v>
      </c>
      <c r="B1" s="2" t="s">
        <v>401</v>
      </c>
      <c r="C1" s="2"/>
      <c r="D1" s="2" t="s">
        <v>402</v>
      </c>
      <c r="E1" s="2" t="s">
        <v>403</v>
      </c>
      <c r="F1" s="2" t="s">
        <v>476</v>
      </c>
      <c r="G1" s="2" t="s">
        <v>477</v>
      </c>
    </row>
    <row r="2" spans="1:7" x14ac:dyDescent="0.25">
      <c r="A2" t="s">
        <v>407</v>
      </c>
      <c r="B2" s="3" t="s">
        <v>405</v>
      </c>
      <c r="C2" s="3" t="str">
        <f t="shared" ref="C2:C65" si="0">A2&amp;"-"&amp;B2</f>
        <v>Navegantes (Santa Catarina), Brazil-Abidjan, Ivory Coast</v>
      </c>
      <c r="D2" s="3" t="s">
        <v>68</v>
      </c>
      <c r="E2" s="4">
        <v>1</v>
      </c>
      <c r="F2">
        <v>1</v>
      </c>
    </row>
    <row r="3" spans="1:7" x14ac:dyDescent="0.25">
      <c r="A3" t="s">
        <v>406</v>
      </c>
      <c r="B3" s="3" t="s">
        <v>405</v>
      </c>
      <c r="C3" s="3" t="str">
        <f t="shared" si="0"/>
        <v>Salvador (Bahia), Brazil-Abidjan, Ivory Coast</v>
      </c>
      <c r="D3" s="3" t="s">
        <v>68</v>
      </c>
      <c r="E3">
        <v>2</v>
      </c>
      <c r="F3">
        <v>1</v>
      </c>
    </row>
    <row r="4" spans="1:7" x14ac:dyDescent="0.25">
      <c r="A4" t="s">
        <v>404</v>
      </c>
      <c r="B4" s="3" t="s">
        <v>405</v>
      </c>
      <c r="C4" s="3" t="str">
        <f t="shared" si="0"/>
        <v>Santos (Sao Paulo), Brazil-Abidjan, Ivory Coast</v>
      </c>
      <c r="D4" s="3" t="s">
        <v>68</v>
      </c>
      <c r="E4">
        <v>3</v>
      </c>
      <c r="F4">
        <v>1</v>
      </c>
    </row>
    <row r="5" spans="1:7" x14ac:dyDescent="0.25">
      <c r="A5" t="s">
        <v>407</v>
      </c>
      <c r="B5" s="3" t="s">
        <v>408</v>
      </c>
      <c r="C5" s="3" t="str">
        <f t="shared" si="0"/>
        <v>Navegantes (Santa Catarina), Brazil-Algeciras, Spain</v>
      </c>
      <c r="D5" s="3" t="s">
        <v>92</v>
      </c>
      <c r="E5">
        <v>4</v>
      </c>
      <c r="F5">
        <v>1</v>
      </c>
    </row>
    <row r="6" spans="1:7" x14ac:dyDescent="0.25">
      <c r="A6" t="s">
        <v>406</v>
      </c>
      <c r="B6" s="3" t="s">
        <v>408</v>
      </c>
      <c r="C6" s="3" t="str">
        <f t="shared" si="0"/>
        <v>Salvador (Bahia), Brazil-Algeciras, Spain</v>
      </c>
      <c r="D6" s="3" t="s">
        <v>92</v>
      </c>
      <c r="E6">
        <v>5</v>
      </c>
      <c r="F6">
        <v>1</v>
      </c>
    </row>
    <row r="7" spans="1:7" x14ac:dyDescent="0.25">
      <c r="A7" t="s">
        <v>404</v>
      </c>
      <c r="B7" s="3" t="s">
        <v>408</v>
      </c>
      <c r="C7" s="3" t="str">
        <f t="shared" si="0"/>
        <v>Santos (Sao Paulo), Brazil-Algeciras, Spain</v>
      </c>
      <c r="D7" s="3" t="s">
        <v>92</v>
      </c>
      <c r="E7">
        <v>6</v>
      </c>
      <c r="F7">
        <v>1</v>
      </c>
    </row>
    <row r="8" spans="1:7" x14ac:dyDescent="0.25">
      <c r="A8" t="s">
        <v>407</v>
      </c>
      <c r="B8" s="5" t="s">
        <v>478</v>
      </c>
      <c r="C8" s="3" t="str">
        <f t="shared" si="0"/>
        <v>Navegantes (Santa Catarina), Brazil-Altamira (Tamaulipas), Mexico</v>
      </c>
      <c r="D8" s="3" t="s">
        <v>135</v>
      </c>
      <c r="E8">
        <v>7</v>
      </c>
      <c r="F8">
        <v>1</v>
      </c>
    </row>
    <row r="9" spans="1:7" x14ac:dyDescent="0.25">
      <c r="A9" t="s">
        <v>406</v>
      </c>
      <c r="B9" s="6" t="s">
        <v>478</v>
      </c>
      <c r="C9" s="3" t="str">
        <f t="shared" si="0"/>
        <v>Salvador (Bahia), Brazil-Altamira (Tamaulipas), Mexico</v>
      </c>
      <c r="D9" s="3" t="s">
        <v>135</v>
      </c>
      <c r="E9">
        <v>8</v>
      </c>
      <c r="F9">
        <v>1</v>
      </c>
    </row>
    <row r="10" spans="1:7" x14ac:dyDescent="0.25">
      <c r="A10" t="s">
        <v>404</v>
      </c>
      <c r="B10" s="5" t="s">
        <v>478</v>
      </c>
      <c r="C10" s="3" t="str">
        <f t="shared" si="0"/>
        <v>Santos (Sao Paulo), Brazil-Altamira (Tamaulipas), Mexico</v>
      </c>
      <c r="D10" s="3" t="s">
        <v>135</v>
      </c>
      <c r="E10">
        <v>9</v>
      </c>
      <c r="F10">
        <v>1</v>
      </c>
    </row>
    <row r="11" spans="1:7" x14ac:dyDescent="0.25">
      <c r="A11" t="s">
        <v>407</v>
      </c>
      <c r="B11" s="3" t="s">
        <v>409</v>
      </c>
      <c r="C11" s="3" t="str">
        <f t="shared" si="0"/>
        <v>Navegantes (Santa Catarina), Brazil-Asuncion, Paraguay</v>
      </c>
      <c r="D11" s="3" t="s">
        <v>153</v>
      </c>
      <c r="E11">
        <v>10</v>
      </c>
      <c r="F11">
        <v>1</v>
      </c>
    </row>
    <row r="12" spans="1:7" x14ac:dyDescent="0.25">
      <c r="A12" t="s">
        <v>406</v>
      </c>
      <c r="B12" s="3" t="s">
        <v>409</v>
      </c>
      <c r="C12" s="3" t="str">
        <f t="shared" si="0"/>
        <v>Salvador (Bahia), Brazil-Asuncion, Paraguay</v>
      </c>
      <c r="D12" s="3" t="s">
        <v>153</v>
      </c>
      <c r="E12">
        <v>11</v>
      </c>
      <c r="F12">
        <v>1</v>
      </c>
    </row>
    <row r="13" spans="1:7" x14ac:dyDescent="0.25">
      <c r="A13" t="s">
        <v>404</v>
      </c>
      <c r="B13" s="3" t="s">
        <v>409</v>
      </c>
      <c r="C13" s="3" t="str">
        <f t="shared" si="0"/>
        <v>Santos (Sao Paulo), Brazil-Asuncion, Paraguay</v>
      </c>
      <c r="D13" s="3" t="s">
        <v>153</v>
      </c>
      <c r="E13">
        <v>12</v>
      </c>
      <c r="F13">
        <v>1</v>
      </c>
    </row>
    <row r="14" spans="1:7" x14ac:dyDescent="0.25">
      <c r="A14" t="s">
        <v>407</v>
      </c>
      <c r="B14" s="3" t="s">
        <v>410</v>
      </c>
      <c r="C14" s="3" t="str">
        <f t="shared" si="0"/>
        <v>Navegantes (Santa Catarina), Brazil-Balboa, Panama</v>
      </c>
      <c r="D14" s="3" t="s">
        <v>143</v>
      </c>
      <c r="E14">
        <v>13</v>
      </c>
      <c r="F14">
        <v>1</v>
      </c>
    </row>
    <row r="15" spans="1:7" x14ac:dyDescent="0.25">
      <c r="A15" t="s">
        <v>406</v>
      </c>
      <c r="B15" s="3" t="s">
        <v>410</v>
      </c>
      <c r="C15" s="3" t="str">
        <f t="shared" si="0"/>
        <v>Salvador (Bahia), Brazil-Balboa, Panama</v>
      </c>
      <c r="D15" s="3" t="s">
        <v>143</v>
      </c>
      <c r="E15">
        <v>14</v>
      </c>
      <c r="F15">
        <v>1</v>
      </c>
    </row>
    <row r="16" spans="1:7" x14ac:dyDescent="0.25">
      <c r="A16" t="s">
        <v>404</v>
      </c>
      <c r="B16" s="3" t="s">
        <v>410</v>
      </c>
      <c r="C16" s="3" t="str">
        <f t="shared" si="0"/>
        <v>Santos (Sao Paulo), Brazil-Balboa, Panama</v>
      </c>
      <c r="D16" s="3" t="s">
        <v>143</v>
      </c>
      <c r="E16">
        <v>15</v>
      </c>
      <c r="F16">
        <v>1</v>
      </c>
    </row>
    <row r="17" spans="1:7" x14ac:dyDescent="0.25">
      <c r="A17" t="s">
        <v>407</v>
      </c>
      <c r="B17" s="3" t="s">
        <v>411</v>
      </c>
      <c r="C17" s="3" t="str">
        <f t="shared" si="0"/>
        <v>Navegantes (Santa Catarina), Brazil-Bar, Montenegro</v>
      </c>
      <c r="D17" s="3" t="s">
        <v>128</v>
      </c>
      <c r="E17">
        <v>16</v>
      </c>
      <c r="F17">
        <v>1</v>
      </c>
    </row>
    <row r="18" spans="1:7" x14ac:dyDescent="0.25">
      <c r="A18" t="s">
        <v>406</v>
      </c>
      <c r="B18" s="3" t="s">
        <v>411</v>
      </c>
      <c r="C18" s="3" t="str">
        <f t="shared" si="0"/>
        <v>Salvador (Bahia), Brazil-Bar, Montenegro</v>
      </c>
      <c r="D18" s="3" t="s">
        <v>128</v>
      </c>
      <c r="E18">
        <v>17</v>
      </c>
      <c r="F18">
        <v>1</v>
      </c>
    </row>
    <row r="19" spans="1:7" x14ac:dyDescent="0.25">
      <c r="A19" t="s">
        <v>404</v>
      </c>
      <c r="B19" s="3" t="s">
        <v>411</v>
      </c>
      <c r="C19" s="3" t="str">
        <f t="shared" si="0"/>
        <v>Santos (Sao Paulo), Brazil-Bar, Montenegro</v>
      </c>
      <c r="D19" s="3" t="s">
        <v>128</v>
      </c>
      <c r="E19">
        <v>18</v>
      </c>
      <c r="F19">
        <v>1</v>
      </c>
    </row>
    <row r="20" spans="1:7" x14ac:dyDescent="0.25">
      <c r="A20" t="s">
        <v>407</v>
      </c>
      <c r="B20" s="3" t="s">
        <v>412</v>
      </c>
      <c r="C20" s="3" t="str">
        <f t="shared" si="0"/>
        <v>Navegantes (Santa Catarina), Brazil-Barcelona, Spain</v>
      </c>
      <c r="D20" s="3" t="s">
        <v>95</v>
      </c>
      <c r="E20">
        <v>19</v>
      </c>
      <c r="F20">
        <v>1</v>
      </c>
    </row>
    <row r="21" spans="1:7" x14ac:dyDescent="0.25">
      <c r="A21" t="s">
        <v>406</v>
      </c>
      <c r="B21" s="3" t="s">
        <v>412</v>
      </c>
      <c r="C21" s="3" t="str">
        <f t="shared" si="0"/>
        <v>Salvador (Bahia), Brazil-Barcelona, Spain</v>
      </c>
      <c r="D21" s="3" t="s">
        <v>95</v>
      </c>
      <c r="E21">
        <v>20</v>
      </c>
      <c r="F21">
        <v>1</v>
      </c>
    </row>
    <row r="22" spans="1:7" x14ac:dyDescent="0.25">
      <c r="A22" t="s">
        <v>404</v>
      </c>
      <c r="B22" s="3" t="s">
        <v>412</v>
      </c>
      <c r="C22" s="3" t="str">
        <f t="shared" si="0"/>
        <v>Santos (Sao Paulo), Brazil-Barcelona, Spain</v>
      </c>
      <c r="D22" s="3" t="s">
        <v>95</v>
      </c>
      <c r="E22">
        <v>21</v>
      </c>
      <c r="F22">
        <v>1</v>
      </c>
    </row>
    <row r="23" spans="1:7" x14ac:dyDescent="0.25">
      <c r="A23" t="s">
        <v>407</v>
      </c>
      <c r="B23" s="3" t="s">
        <v>413</v>
      </c>
      <c r="C23" s="3" t="str">
        <f t="shared" si="0"/>
        <v>Navegantes (Santa Catarina), Brazil-Basseterre, St Kitts-Nevis</v>
      </c>
      <c r="D23" s="3" t="s">
        <v>122</v>
      </c>
      <c r="E23">
        <v>22</v>
      </c>
      <c r="F23">
        <v>1</v>
      </c>
      <c r="G23">
        <v>1</v>
      </c>
    </row>
    <row r="24" spans="1:7" x14ac:dyDescent="0.25">
      <c r="A24" t="s">
        <v>406</v>
      </c>
      <c r="B24" s="3" t="s">
        <v>413</v>
      </c>
      <c r="C24" s="3" t="str">
        <f t="shared" si="0"/>
        <v>Salvador (Bahia), Brazil-Basseterre, St Kitts-Nevis</v>
      </c>
      <c r="D24" s="3" t="s">
        <v>122</v>
      </c>
      <c r="E24">
        <v>23</v>
      </c>
      <c r="F24">
        <v>1</v>
      </c>
      <c r="G24">
        <v>1</v>
      </c>
    </row>
    <row r="25" spans="1:7" x14ac:dyDescent="0.25">
      <c r="A25" t="s">
        <v>404</v>
      </c>
      <c r="B25" s="3" t="s">
        <v>413</v>
      </c>
      <c r="C25" s="3" t="str">
        <f t="shared" si="0"/>
        <v>Santos (Sao Paulo), Brazil-Basseterre, St Kitts-Nevis</v>
      </c>
      <c r="D25" s="3" t="s">
        <v>122</v>
      </c>
      <c r="E25">
        <v>24</v>
      </c>
      <c r="F25">
        <v>1</v>
      </c>
      <c r="G25">
        <v>1</v>
      </c>
    </row>
    <row r="26" spans="1:7" x14ac:dyDescent="0.25">
      <c r="A26" t="s">
        <v>407</v>
      </c>
      <c r="B26" s="3" t="s">
        <v>414</v>
      </c>
      <c r="C26" s="3" t="str">
        <f t="shared" si="0"/>
        <v>Navegantes (Santa Catarina), Brazil-Beira, Mozambique</v>
      </c>
      <c r="D26" s="3" t="s">
        <v>137</v>
      </c>
      <c r="E26">
        <v>25</v>
      </c>
      <c r="F26">
        <v>1</v>
      </c>
    </row>
    <row r="27" spans="1:7" x14ac:dyDescent="0.25">
      <c r="A27" t="s">
        <v>406</v>
      </c>
      <c r="B27" s="3" t="s">
        <v>414</v>
      </c>
      <c r="C27" s="3" t="str">
        <f t="shared" si="0"/>
        <v>Salvador (Bahia), Brazil-Beira, Mozambique</v>
      </c>
      <c r="D27" s="3" t="s">
        <v>137</v>
      </c>
      <c r="E27">
        <v>26</v>
      </c>
      <c r="F27">
        <v>1</v>
      </c>
    </row>
    <row r="28" spans="1:7" x14ac:dyDescent="0.25">
      <c r="A28" t="s">
        <v>404</v>
      </c>
      <c r="B28" s="3" t="s">
        <v>414</v>
      </c>
      <c r="C28" s="3" t="str">
        <f t="shared" si="0"/>
        <v>Santos (Sao Paulo), Brazil-Beira, Mozambique</v>
      </c>
      <c r="D28" s="3" t="s">
        <v>137</v>
      </c>
      <c r="E28">
        <v>27</v>
      </c>
      <c r="F28">
        <v>1</v>
      </c>
    </row>
    <row r="29" spans="1:7" x14ac:dyDescent="0.25">
      <c r="A29" t="s">
        <v>407</v>
      </c>
      <c r="B29" s="3" t="s">
        <v>416</v>
      </c>
      <c r="C29" s="3" t="str">
        <f t="shared" si="0"/>
        <v>Navegantes (Santa Catarina), Brazil-Bridgetown, Barbados</v>
      </c>
      <c r="D29" s="3" t="s">
        <v>57</v>
      </c>
      <c r="E29">
        <v>28</v>
      </c>
      <c r="F29">
        <v>1</v>
      </c>
    </row>
    <row r="30" spans="1:7" x14ac:dyDescent="0.25">
      <c r="A30" t="s">
        <v>406</v>
      </c>
      <c r="B30" s="3" t="s">
        <v>416</v>
      </c>
      <c r="C30" s="3" t="str">
        <f t="shared" si="0"/>
        <v>Salvador (Bahia), Brazil-Bridgetown, Barbados</v>
      </c>
      <c r="D30" s="3" t="s">
        <v>57</v>
      </c>
      <c r="E30">
        <v>29</v>
      </c>
      <c r="F30">
        <v>1</v>
      </c>
    </row>
    <row r="31" spans="1:7" x14ac:dyDescent="0.25">
      <c r="A31" t="s">
        <v>404</v>
      </c>
      <c r="B31" s="3" t="s">
        <v>416</v>
      </c>
      <c r="C31" s="3" t="str">
        <f t="shared" si="0"/>
        <v>Santos (Sao Paulo), Brazil-Bridgetown, Barbados</v>
      </c>
      <c r="D31" s="3" t="s">
        <v>57</v>
      </c>
      <c r="E31">
        <v>30</v>
      </c>
      <c r="F31">
        <v>1</v>
      </c>
    </row>
    <row r="32" spans="1:7" x14ac:dyDescent="0.25">
      <c r="A32" t="s">
        <v>407</v>
      </c>
      <c r="B32" s="3" t="s">
        <v>417</v>
      </c>
      <c r="C32" s="3" t="str">
        <f t="shared" si="0"/>
        <v>Navegantes (Santa Catarina), Brazil-Buenos Aires (Buenos Aires), Argentina</v>
      </c>
      <c r="D32" s="3" t="s">
        <v>49</v>
      </c>
      <c r="E32">
        <v>31</v>
      </c>
      <c r="F32">
        <v>1</v>
      </c>
    </row>
    <row r="33" spans="1:6" x14ac:dyDescent="0.25">
      <c r="A33" t="s">
        <v>406</v>
      </c>
      <c r="B33" s="3" t="s">
        <v>417</v>
      </c>
      <c r="C33" s="3" t="str">
        <f t="shared" si="0"/>
        <v>Salvador (Bahia), Brazil-Buenos Aires (Buenos Aires), Argentina</v>
      </c>
      <c r="D33" s="3" t="s">
        <v>49</v>
      </c>
      <c r="E33">
        <v>32</v>
      </c>
      <c r="F33">
        <v>1</v>
      </c>
    </row>
    <row r="34" spans="1:6" x14ac:dyDescent="0.25">
      <c r="A34" t="s">
        <v>404</v>
      </c>
      <c r="B34" s="3" t="s">
        <v>417</v>
      </c>
      <c r="C34" s="3" t="str">
        <f t="shared" si="0"/>
        <v>Santos (Sao Paulo), Brazil-Buenos Aires (Buenos Aires), Argentina</v>
      </c>
      <c r="D34" s="3" t="s">
        <v>49</v>
      </c>
      <c r="E34">
        <v>33</v>
      </c>
      <c r="F34">
        <v>1</v>
      </c>
    </row>
    <row r="35" spans="1:6" x14ac:dyDescent="0.25">
      <c r="A35" t="s">
        <v>407</v>
      </c>
      <c r="B35" s="3" t="s">
        <v>418</v>
      </c>
      <c r="C35" s="3" t="str">
        <f t="shared" si="0"/>
        <v>Navegantes (Santa Catarina), Brazil-Callao, Peru</v>
      </c>
      <c r="D35" s="3" t="s">
        <v>147</v>
      </c>
      <c r="E35">
        <v>34</v>
      </c>
      <c r="F35">
        <v>1</v>
      </c>
    </row>
    <row r="36" spans="1:6" x14ac:dyDescent="0.25">
      <c r="A36" t="s">
        <v>406</v>
      </c>
      <c r="B36" s="3" t="s">
        <v>418</v>
      </c>
      <c r="C36" s="3" t="str">
        <f t="shared" si="0"/>
        <v>Salvador (Bahia), Brazil-Callao, Peru</v>
      </c>
      <c r="D36" s="3" t="s">
        <v>147</v>
      </c>
      <c r="E36">
        <v>35</v>
      </c>
      <c r="F36">
        <v>1</v>
      </c>
    </row>
    <row r="37" spans="1:6" x14ac:dyDescent="0.25">
      <c r="A37" t="s">
        <v>404</v>
      </c>
      <c r="B37" s="3" t="s">
        <v>418</v>
      </c>
      <c r="C37" s="3" t="str">
        <f t="shared" si="0"/>
        <v>Santos (Sao Paulo), Brazil-Callao, Peru</v>
      </c>
      <c r="D37" s="3" t="s">
        <v>147</v>
      </c>
      <c r="E37">
        <v>36</v>
      </c>
      <c r="F37">
        <v>1</v>
      </c>
    </row>
    <row r="38" spans="1:6" x14ac:dyDescent="0.25">
      <c r="A38" t="s">
        <v>407</v>
      </c>
      <c r="B38" s="3" t="s">
        <v>419</v>
      </c>
      <c r="C38" s="3" t="str">
        <f t="shared" si="0"/>
        <v>Navegantes (Santa Catarina), Brazil-Campden Park, Saint Vincent and the Grenadines</v>
      </c>
      <c r="D38" s="3" t="s">
        <v>199</v>
      </c>
      <c r="E38">
        <v>37</v>
      </c>
      <c r="F38">
        <v>1</v>
      </c>
    </row>
    <row r="39" spans="1:6" x14ac:dyDescent="0.25">
      <c r="A39" t="s">
        <v>406</v>
      </c>
      <c r="B39" s="3" t="s">
        <v>419</v>
      </c>
      <c r="C39" s="3" t="str">
        <f t="shared" si="0"/>
        <v>Salvador (Bahia), Brazil-Campden Park, Saint Vincent and the Grenadines</v>
      </c>
      <c r="D39" s="3" t="s">
        <v>199</v>
      </c>
      <c r="E39">
        <v>38</v>
      </c>
      <c r="F39">
        <v>1</v>
      </c>
    </row>
    <row r="40" spans="1:6" x14ac:dyDescent="0.25">
      <c r="A40" t="s">
        <v>404</v>
      </c>
      <c r="B40" s="3" t="s">
        <v>419</v>
      </c>
      <c r="C40" s="3" t="str">
        <f t="shared" si="0"/>
        <v>Santos (Sao Paulo), Brazil-Campden Park, Saint Vincent and the Grenadines</v>
      </c>
      <c r="D40" s="3" t="s">
        <v>199</v>
      </c>
      <c r="E40">
        <v>39</v>
      </c>
      <c r="F40">
        <v>1</v>
      </c>
    </row>
    <row r="41" spans="1:6" x14ac:dyDescent="0.25">
      <c r="A41" t="s">
        <v>407</v>
      </c>
      <c r="B41" s="3" t="s">
        <v>420</v>
      </c>
      <c r="C41" s="3" t="str">
        <f t="shared" si="0"/>
        <v>Navegantes (Santa Catarina), Brazil-Cap Haitien, Haiti</v>
      </c>
      <c r="D41" s="3" t="s">
        <v>115</v>
      </c>
      <c r="E41">
        <v>40</v>
      </c>
      <c r="F41">
        <v>1</v>
      </c>
    </row>
    <row r="42" spans="1:6" x14ac:dyDescent="0.25">
      <c r="A42" t="s">
        <v>406</v>
      </c>
      <c r="B42" s="3" t="s">
        <v>420</v>
      </c>
      <c r="C42" s="3" t="str">
        <f t="shared" si="0"/>
        <v>Salvador (Bahia), Brazil-Cap Haitien, Haiti</v>
      </c>
      <c r="D42" s="3" t="s">
        <v>115</v>
      </c>
      <c r="E42">
        <v>41</v>
      </c>
      <c r="F42">
        <v>1</v>
      </c>
    </row>
    <row r="43" spans="1:6" x14ac:dyDescent="0.25">
      <c r="A43" t="s">
        <v>404</v>
      </c>
      <c r="B43" s="3" t="s">
        <v>420</v>
      </c>
      <c r="C43" s="3" t="str">
        <f t="shared" si="0"/>
        <v>Santos (Sao Paulo), Brazil-Cap Haitien, Haiti</v>
      </c>
      <c r="D43" s="3" t="s">
        <v>115</v>
      </c>
      <c r="E43">
        <v>42</v>
      </c>
      <c r="F43">
        <v>1</v>
      </c>
    </row>
    <row r="44" spans="1:6" x14ac:dyDescent="0.25">
      <c r="A44" t="s">
        <v>407</v>
      </c>
      <c r="B44" s="3" t="s">
        <v>421</v>
      </c>
      <c r="C44" s="3" t="str">
        <f t="shared" si="0"/>
        <v>Navegantes (Santa Catarina), Brazil-Cape Town (Western Cape), South Africa</v>
      </c>
      <c r="D44" s="3" t="s">
        <v>213</v>
      </c>
      <c r="E44">
        <v>43</v>
      </c>
      <c r="F44">
        <v>1</v>
      </c>
    </row>
    <row r="45" spans="1:6" x14ac:dyDescent="0.25">
      <c r="A45" t="s">
        <v>406</v>
      </c>
      <c r="B45" s="3" t="s">
        <v>421</v>
      </c>
      <c r="C45" s="3" t="str">
        <f t="shared" si="0"/>
        <v>Salvador (Bahia), Brazil-Cape Town (Western Cape), South Africa</v>
      </c>
      <c r="D45" s="3" t="s">
        <v>213</v>
      </c>
      <c r="E45">
        <v>44</v>
      </c>
      <c r="F45">
        <v>1</v>
      </c>
    </row>
    <row r="46" spans="1:6" x14ac:dyDescent="0.25">
      <c r="A46" t="s">
        <v>404</v>
      </c>
      <c r="B46" s="3" t="s">
        <v>421</v>
      </c>
      <c r="C46" s="3" t="str">
        <f t="shared" si="0"/>
        <v>Santos (Sao Paulo), Brazil-Cape Town (Western Cape), South Africa</v>
      </c>
      <c r="D46" s="3" t="s">
        <v>213</v>
      </c>
      <c r="E46">
        <v>45</v>
      </c>
      <c r="F46">
        <v>1</v>
      </c>
    </row>
    <row r="47" spans="1:6" x14ac:dyDescent="0.25">
      <c r="A47" t="s">
        <v>407</v>
      </c>
      <c r="B47" s="3" t="s">
        <v>422</v>
      </c>
      <c r="C47" s="3" t="str">
        <f t="shared" si="0"/>
        <v>Navegantes (Santa Catarina), Brazil-Cartagena (Bolivar), Colombia</v>
      </c>
      <c r="D47" s="3" t="s">
        <v>76</v>
      </c>
      <c r="E47">
        <v>46</v>
      </c>
      <c r="F47">
        <v>1</v>
      </c>
    </row>
    <row r="48" spans="1:6" x14ac:dyDescent="0.25">
      <c r="A48" t="s">
        <v>406</v>
      </c>
      <c r="B48" s="3" t="s">
        <v>422</v>
      </c>
      <c r="C48" s="3" t="str">
        <f t="shared" si="0"/>
        <v>Salvador (Bahia), Brazil-Cartagena (Bolivar), Colombia</v>
      </c>
      <c r="D48" s="3" t="s">
        <v>76</v>
      </c>
      <c r="E48">
        <v>47</v>
      </c>
      <c r="F48">
        <v>1</v>
      </c>
    </row>
    <row r="49" spans="1:7" x14ac:dyDescent="0.25">
      <c r="A49" t="s">
        <v>404</v>
      </c>
      <c r="B49" s="3" t="s">
        <v>422</v>
      </c>
      <c r="C49" s="3" t="str">
        <f t="shared" si="0"/>
        <v>Santos (Sao Paulo), Brazil-Cartagena (Bolivar), Colombia</v>
      </c>
      <c r="D49" s="3" t="s">
        <v>76</v>
      </c>
      <c r="E49">
        <v>48</v>
      </c>
      <c r="F49">
        <v>1</v>
      </c>
    </row>
    <row r="50" spans="1:7" x14ac:dyDescent="0.25">
      <c r="A50" t="s">
        <v>407</v>
      </c>
      <c r="B50" s="3" t="s">
        <v>423</v>
      </c>
      <c r="C50" s="3" t="str">
        <f t="shared" si="0"/>
        <v>Navegantes (Santa Catarina), Brazil-Castries (Herault), France</v>
      </c>
      <c r="D50" s="3" t="s">
        <v>124</v>
      </c>
      <c r="E50">
        <v>49</v>
      </c>
      <c r="F50">
        <v>1</v>
      </c>
    </row>
    <row r="51" spans="1:7" x14ac:dyDescent="0.25">
      <c r="A51" t="s">
        <v>406</v>
      </c>
      <c r="B51" s="3" t="s">
        <v>423</v>
      </c>
      <c r="C51" s="3" t="str">
        <f t="shared" si="0"/>
        <v>Salvador (Bahia), Brazil-Castries (Herault), France</v>
      </c>
      <c r="D51" s="3" t="s">
        <v>124</v>
      </c>
      <c r="E51">
        <v>50</v>
      </c>
      <c r="F51">
        <v>1</v>
      </c>
    </row>
    <row r="52" spans="1:7" x14ac:dyDescent="0.25">
      <c r="A52" t="s">
        <v>404</v>
      </c>
      <c r="B52" s="3" t="s">
        <v>423</v>
      </c>
      <c r="C52" s="3" t="str">
        <f t="shared" si="0"/>
        <v>Santos (Sao Paulo), Brazil-Castries (Herault), France</v>
      </c>
      <c r="D52" s="3" t="s">
        <v>124</v>
      </c>
      <c r="E52">
        <v>51</v>
      </c>
      <c r="F52">
        <v>1</v>
      </c>
    </row>
    <row r="53" spans="1:7" x14ac:dyDescent="0.25">
      <c r="A53" t="s">
        <v>407</v>
      </c>
      <c r="B53" s="3" t="s">
        <v>424</v>
      </c>
      <c r="C53" s="3" t="str">
        <f t="shared" si="0"/>
        <v>Navegantes (Santa Catarina), Brazil-Caucedo, Dominican Republic</v>
      </c>
      <c r="D53" s="3" t="s">
        <v>88</v>
      </c>
      <c r="E53">
        <v>52</v>
      </c>
      <c r="F53">
        <v>1</v>
      </c>
    </row>
    <row r="54" spans="1:7" x14ac:dyDescent="0.25">
      <c r="A54" t="s">
        <v>406</v>
      </c>
      <c r="B54" s="3" t="s">
        <v>424</v>
      </c>
      <c r="C54" s="3" t="str">
        <f t="shared" si="0"/>
        <v>Salvador (Bahia), Brazil-Caucedo, Dominican Republic</v>
      </c>
      <c r="D54" s="3" t="s">
        <v>88</v>
      </c>
      <c r="E54">
        <v>53</v>
      </c>
      <c r="F54">
        <v>1</v>
      </c>
    </row>
    <row r="55" spans="1:7" x14ac:dyDescent="0.25">
      <c r="A55" t="s">
        <v>404</v>
      </c>
      <c r="B55" s="3" t="s">
        <v>424</v>
      </c>
      <c r="C55" s="3" t="str">
        <f t="shared" si="0"/>
        <v>Santos (Sao Paulo), Brazil-Caucedo, Dominican Republic</v>
      </c>
      <c r="D55" s="3" t="s">
        <v>88</v>
      </c>
      <c r="E55">
        <v>54</v>
      </c>
      <c r="F55">
        <v>1</v>
      </c>
    </row>
    <row r="56" spans="1:7" x14ac:dyDescent="0.25">
      <c r="A56" t="s">
        <v>407</v>
      </c>
      <c r="B56" s="3" t="s">
        <v>425</v>
      </c>
      <c r="C56" s="3" t="str">
        <f t="shared" si="0"/>
        <v>Navegantes (Santa Catarina), Brazil-Charleston (South Carolina), United States</v>
      </c>
      <c r="D56" s="3" t="s">
        <v>183</v>
      </c>
      <c r="E56">
        <v>55</v>
      </c>
      <c r="F56">
        <v>1</v>
      </c>
      <c r="G56">
        <v>1</v>
      </c>
    </row>
    <row r="57" spans="1:7" x14ac:dyDescent="0.25">
      <c r="A57" t="s">
        <v>406</v>
      </c>
      <c r="B57" s="3" t="s">
        <v>425</v>
      </c>
      <c r="C57" s="3" t="str">
        <f t="shared" si="0"/>
        <v>Salvador (Bahia), Brazil-Charleston (South Carolina), United States</v>
      </c>
      <c r="D57" s="3" t="s">
        <v>183</v>
      </c>
      <c r="E57">
        <v>56</v>
      </c>
      <c r="F57">
        <v>1</v>
      </c>
      <c r="G57">
        <v>1</v>
      </c>
    </row>
    <row r="58" spans="1:7" x14ac:dyDescent="0.25">
      <c r="A58" t="s">
        <v>404</v>
      </c>
      <c r="B58" s="3" t="s">
        <v>425</v>
      </c>
      <c r="C58" s="3" t="str">
        <f t="shared" si="0"/>
        <v>Santos (Sao Paulo), Brazil-Charleston (South Carolina), United States</v>
      </c>
      <c r="D58" s="3" t="s">
        <v>183</v>
      </c>
      <c r="E58">
        <v>57</v>
      </c>
      <c r="F58">
        <v>1</v>
      </c>
      <c r="G58">
        <v>1</v>
      </c>
    </row>
    <row r="59" spans="1:7" x14ac:dyDescent="0.25">
      <c r="A59" t="s">
        <v>407</v>
      </c>
      <c r="B59" s="3" t="s">
        <v>426</v>
      </c>
      <c r="C59" s="3" t="str">
        <f t="shared" si="0"/>
        <v>Navegantes (Santa Catarina), Brazil-Charlotte Amalie, Virgin Islands (US)</v>
      </c>
      <c r="D59" s="3" t="s">
        <v>210</v>
      </c>
      <c r="E59">
        <v>58</v>
      </c>
      <c r="F59">
        <v>1</v>
      </c>
    </row>
    <row r="60" spans="1:7" x14ac:dyDescent="0.25">
      <c r="A60" t="s">
        <v>406</v>
      </c>
      <c r="B60" s="3" t="s">
        <v>426</v>
      </c>
      <c r="C60" s="3" t="str">
        <f t="shared" si="0"/>
        <v>Salvador (Bahia), Brazil-Charlotte Amalie, Virgin Islands (US)</v>
      </c>
      <c r="D60" s="3" t="s">
        <v>210</v>
      </c>
      <c r="E60">
        <v>59</v>
      </c>
      <c r="F60">
        <v>1</v>
      </c>
    </row>
    <row r="61" spans="1:7" x14ac:dyDescent="0.25">
      <c r="A61" t="s">
        <v>404</v>
      </c>
      <c r="B61" s="3" t="s">
        <v>426</v>
      </c>
      <c r="C61" s="3" t="str">
        <f t="shared" si="0"/>
        <v>Santos (Sao Paulo), Brazil-Charlotte Amalie, Virgin Islands (US)</v>
      </c>
      <c r="D61" s="3" t="s">
        <v>210</v>
      </c>
      <c r="E61">
        <v>60</v>
      </c>
      <c r="F61">
        <v>1</v>
      </c>
    </row>
    <row r="62" spans="1:7" x14ac:dyDescent="0.25">
      <c r="A62" t="s">
        <v>407</v>
      </c>
      <c r="B62" s="3" t="s">
        <v>427</v>
      </c>
      <c r="C62" s="3" t="str">
        <f t="shared" si="0"/>
        <v>Navegantes (Santa Catarina), Brazil-Constanta (Constanta), Romania</v>
      </c>
      <c r="D62" s="3" t="s">
        <v>155</v>
      </c>
      <c r="E62">
        <v>61</v>
      </c>
      <c r="F62">
        <v>1</v>
      </c>
    </row>
    <row r="63" spans="1:7" x14ac:dyDescent="0.25">
      <c r="A63" t="s">
        <v>406</v>
      </c>
      <c r="B63" s="3" t="s">
        <v>427</v>
      </c>
      <c r="C63" s="3" t="str">
        <f t="shared" si="0"/>
        <v>Salvador (Bahia), Brazil-Constanta (Constanta), Romania</v>
      </c>
      <c r="D63" s="3" t="s">
        <v>155</v>
      </c>
      <c r="E63">
        <v>62</v>
      </c>
      <c r="F63">
        <v>1</v>
      </c>
    </row>
    <row r="64" spans="1:7" x14ac:dyDescent="0.25">
      <c r="A64" t="s">
        <v>404</v>
      </c>
      <c r="B64" s="3" t="s">
        <v>427</v>
      </c>
      <c r="C64" s="3" t="str">
        <f t="shared" si="0"/>
        <v>Santos (Sao Paulo), Brazil-Constanta (Constanta), Romania</v>
      </c>
      <c r="D64" s="3" t="s">
        <v>155</v>
      </c>
      <c r="E64">
        <v>63</v>
      </c>
      <c r="F64">
        <v>1</v>
      </c>
    </row>
    <row r="65" spans="1:6" x14ac:dyDescent="0.25">
      <c r="A65" t="s">
        <v>407</v>
      </c>
      <c r="B65" s="3" t="s">
        <v>428</v>
      </c>
      <c r="C65" s="3" t="str">
        <f t="shared" si="0"/>
        <v>Navegantes (Santa Catarina), Brazil-Corinto, Nicaragua</v>
      </c>
      <c r="D65" s="3" t="s">
        <v>141</v>
      </c>
      <c r="E65">
        <v>64</v>
      </c>
      <c r="F65">
        <v>1</v>
      </c>
    </row>
    <row r="66" spans="1:6" x14ac:dyDescent="0.25">
      <c r="A66" t="s">
        <v>406</v>
      </c>
      <c r="B66" s="3" t="s">
        <v>428</v>
      </c>
      <c r="C66" s="3" t="str">
        <f t="shared" ref="C66:C129" si="1">A66&amp;"-"&amp;B66</f>
        <v>Salvador (Bahia), Brazil-Corinto, Nicaragua</v>
      </c>
      <c r="D66" s="3" t="s">
        <v>141</v>
      </c>
      <c r="E66">
        <v>65</v>
      </c>
      <c r="F66">
        <v>1</v>
      </c>
    </row>
    <row r="67" spans="1:6" x14ac:dyDescent="0.25">
      <c r="A67" t="s">
        <v>404</v>
      </c>
      <c r="B67" s="3" t="s">
        <v>428</v>
      </c>
      <c r="C67" s="3" t="str">
        <f t="shared" si="1"/>
        <v>Santos (Sao Paulo), Brazil-Corinto, Nicaragua</v>
      </c>
      <c r="D67" s="3" t="s">
        <v>141</v>
      </c>
      <c r="E67">
        <v>66</v>
      </c>
      <c r="F67">
        <v>1</v>
      </c>
    </row>
    <row r="68" spans="1:6" x14ac:dyDescent="0.25">
      <c r="A68" t="s">
        <v>407</v>
      </c>
      <c r="B68" s="3" t="s">
        <v>429</v>
      </c>
      <c r="C68" s="3" t="str">
        <f t="shared" si="1"/>
        <v>Navegantes (Santa Catarina), Brazil-Cristobal, Panama</v>
      </c>
      <c r="D68" s="3" t="s">
        <v>145</v>
      </c>
      <c r="E68">
        <v>67</v>
      </c>
      <c r="F68">
        <v>1</v>
      </c>
    </row>
    <row r="69" spans="1:6" x14ac:dyDescent="0.25">
      <c r="A69" t="s">
        <v>406</v>
      </c>
      <c r="B69" s="3" t="s">
        <v>429</v>
      </c>
      <c r="C69" s="3" t="str">
        <f t="shared" si="1"/>
        <v>Salvador (Bahia), Brazil-Cristobal, Panama</v>
      </c>
      <c r="D69" s="3" t="s">
        <v>145</v>
      </c>
      <c r="E69">
        <v>68</v>
      </c>
      <c r="F69">
        <v>1</v>
      </c>
    </row>
    <row r="70" spans="1:6" x14ac:dyDescent="0.25">
      <c r="A70" t="s">
        <v>404</v>
      </c>
      <c r="B70" s="3" t="s">
        <v>429</v>
      </c>
      <c r="C70" s="3" t="str">
        <f t="shared" si="1"/>
        <v>Santos (Sao Paulo), Brazil-Cristobal, Panama</v>
      </c>
      <c r="D70" s="3" t="s">
        <v>145</v>
      </c>
      <c r="E70">
        <v>69</v>
      </c>
      <c r="F70">
        <v>1</v>
      </c>
    </row>
    <row r="71" spans="1:6" x14ac:dyDescent="0.25">
      <c r="A71" t="s">
        <v>407</v>
      </c>
      <c r="B71" s="3" t="s">
        <v>430</v>
      </c>
      <c r="C71" s="3" t="str">
        <f t="shared" si="1"/>
        <v>Navegantes (Santa Catarina), Brazil-Dakar, Senegal</v>
      </c>
      <c r="D71" s="3" t="s">
        <v>159</v>
      </c>
      <c r="E71">
        <v>70</v>
      </c>
      <c r="F71">
        <v>1</v>
      </c>
    </row>
    <row r="72" spans="1:6" x14ac:dyDescent="0.25">
      <c r="A72" t="s">
        <v>406</v>
      </c>
      <c r="B72" s="3" t="s">
        <v>430</v>
      </c>
      <c r="C72" s="3" t="str">
        <f t="shared" si="1"/>
        <v>Salvador (Bahia), Brazil-Dakar, Senegal</v>
      </c>
      <c r="D72" s="3" t="s">
        <v>159</v>
      </c>
      <c r="E72">
        <v>71</v>
      </c>
      <c r="F72">
        <v>1</v>
      </c>
    </row>
    <row r="73" spans="1:6" x14ac:dyDescent="0.25">
      <c r="A73" t="s">
        <v>404</v>
      </c>
      <c r="B73" s="3" t="s">
        <v>430</v>
      </c>
      <c r="C73" s="3" t="str">
        <f t="shared" si="1"/>
        <v>Santos (Sao Paulo), Brazil-Dakar, Senegal</v>
      </c>
      <c r="D73" s="3" t="s">
        <v>159</v>
      </c>
      <c r="E73">
        <v>72</v>
      </c>
      <c r="F73">
        <v>1</v>
      </c>
    </row>
    <row r="74" spans="1:6" x14ac:dyDescent="0.25">
      <c r="A74" t="s">
        <v>407</v>
      </c>
      <c r="B74" s="3" t="s">
        <v>431</v>
      </c>
      <c r="C74" s="3" t="str">
        <f t="shared" si="1"/>
        <v>Navegantes (Santa Catarina), Brazil-Douala, Cameroon</v>
      </c>
      <c r="D74" s="3" t="s">
        <v>74</v>
      </c>
      <c r="E74">
        <v>73</v>
      </c>
      <c r="F74">
        <v>1</v>
      </c>
    </row>
    <row r="75" spans="1:6" x14ac:dyDescent="0.25">
      <c r="A75" t="s">
        <v>406</v>
      </c>
      <c r="B75" s="3" t="s">
        <v>431</v>
      </c>
      <c r="C75" s="3" t="str">
        <f t="shared" si="1"/>
        <v>Salvador (Bahia), Brazil-Douala, Cameroon</v>
      </c>
      <c r="D75" s="3" t="s">
        <v>74</v>
      </c>
      <c r="E75">
        <v>74</v>
      </c>
      <c r="F75">
        <v>1</v>
      </c>
    </row>
    <row r="76" spans="1:6" x14ac:dyDescent="0.25">
      <c r="A76" t="s">
        <v>404</v>
      </c>
      <c r="B76" s="3" t="s">
        <v>431</v>
      </c>
      <c r="C76" s="3" t="str">
        <f t="shared" si="1"/>
        <v>Santos (Sao Paulo), Brazil-Douala, Cameroon</v>
      </c>
      <c r="D76" s="3" t="s">
        <v>74</v>
      </c>
      <c r="E76">
        <v>75</v>
      </c>
      <c r="F76">
        <v>1</v>
      </c>
    </row>
    <row r="77" spans="1:6" x14ac:dyDescent="0.25">
      <c r="A77" t="s">
        <v>407</v>
      </c>
      <c r="B77" s="3" t="s">
        <v>432</v>
      </c>
      <c r="C77" s="3" t="str">
        <f t="shared" si="1"/>
        <v>Navegantes (Santa Catarina), Brazil-Durban (KwaZulu-Natal), South Africa</v>
      </c>
      <c r="D77" s="3" t="s">
        <v>215</v>
      </c>
      <c r="E77">
        <v>76</v>
      </c>
      <c r="F77">
        <v>1</v>
      </c>
    </row>
    <row r="78" spans="1:6" x14ac:dyDescent="0.25">
      <c r="A78" t="s">
        <v>406</v>
      </c>
      <c r="B78" s="3" t="s">
        <v>432</v>
      </c>
      <c r="C78" s="3" t="str">
        <f t="shared" si="1"/>
        <v>Salvador (Bahia), Brazil-Durban (KwaZulu-Natal), South Africa</v>
      </c>
      <c r="D78" s="3" t="s">
        <v>215</v>
      </c>
      <c r="E78">
        <v>77</v>
      </c>
      <c r="F78">
        <v>1</v>
      </c>
    </row>
    <row r="79" spans="1:6" x14ac:dyDescent="0.25">
      <c r="A79" t="s">
        <v>404</v>
      </c>
      <c r="B79" s="3" t="s">
        <v>432</v>
      </c>
      <c r="C79" s="3" t="str">
        <f t="shared" si="1"/>
        <v>Santos (Sao Paulo), Brazil-Durban (KwaZulu-Natal), South Africa</v>
      </c>
      <c r="D79" s="3" t="s">
        <v>215</v>
      </c>
      <c r="E79">
        <v>78</v>
      </c>
      <c r="F79">
        <v>1</v>
      </c>
    </row>
    <row r="80" spans="1:6" x14ac:dyDescent="0.25">
      <c r="A80" t="s">
        <v>407</v>
      </c>
      <c r="B80" s="3" t="s">
        <v>433</v>
      </c>
      <c r="C80" s="3" t="str">
        <f t="shared" si="1"/>
        <v>Navegantes (Santa Catarina), Brazil-Felixstowe, United Kingdom</v>
      </c>
      <c r="D80" s="3" t="s">
        <v>100</v>
      </c>
      <c r="E80">
        <v>79</v>
      </c>
      <c r="F80">
        <v>1</v>
      </c>
    </row>
    <row r="81" spans="1:7" x14ac:dyDescent="0.25">
      <c r="A81" t="s">
        <v>406</v>
      </c>
      <c r="B81" s="3" t="s">
        <v>433</v>
      </c>
      <c r="C81" s="3" t="str">
        <f t="shared" si="1"/>
        <v>Salvador (Bahia), Brazil-Felixstowe, United Kingdom</v>
      </c>
      <c r="D81" s="3" t="s">
        <v>100</v>
      </c>
      <c r="E81">
        <v>80</v>
      </c>
      <c r="F81">
        <v>1</v>
      </c>
    </row>
    <row r="82" spans="1:7" x14ac:dyDescent="0.25">
      <c r="A82" t="s">
        <v>404</v>
      </c>
      <c r="B82" s="3" t="s">
        <v>433</v>
      </c>
      <c r="C82" s="3" t="str">
        <f t="shared" si="1"/>
        <v>Santos (Sao Paulo), Brazil-Felixstowe, United Kingdom</v>
      </c>
      <c r="D82" s="3" t="s">
        <v>100</v>
      </c>
      <c r="E82">
        <v>81</v>
      </c>
      <c r="F82">
        <v>1</v>
      </c>
    </row>
    <row r="83" spans="1:7" x14ac:dyDescent="0.25">
      <c r="A83" s="6" t="s">
        <v>407</v>
      </c>
      <c r="B83" s="6" t="s">
        <v>479</v>
      </c>
      <c r="C83" s="3" t="str">
        <f t="shared" si="1"/>
        <v>Navegantes (Santa Catarina), Brazil-Freeport, Bahamas</v>
      </c>
      <c r="D83" s="3" t="s">
        <v>61</v>
      </c>
      <c r="E83">
        <v>82</v>
      </c>
      <c r="F83">
        <v>1</v>
      </c>
    </row>
    <row r="84" spans="1:7" x14ac:dyDescent="0.25">
      <c r="A84" s="5" t="s">
        <v>406</v>
      </c>
      <c r="B84" s="5" t="s">
        <v>479</v>
      </c>
      <c r="C84" s="3" t="str">
        <f t="shared" si="1"/>
        <v>Salvador (Bahia), Brazil-Freeport, Bahamas</v>
      </c>
      <c r="D84" s="3" t="s">
        <v>61</v>
      </c>
      <c r="E84">
        <v>83</v>
      </c>
      <c r="F84">
        <v>1</v>
      </c>
    </row>
    <row r="85" spans="1:7" x14ac:dyDescent="0.25">
      <c r="A85" s="6" t="s">
        <v>404</v>
      </c>
      <c r="B85" s="6" t="s">
        <v>479</v>
      </c>
      <c r="C85" s="3" t="str">
        <f t="shared" si="1"/>
        <v>Santos (Sao Paulo), Brazil-Freeport, Bahamas</v>
      </c>
      <c r="D85" s="3" t="s">
        <v>61</v>
      </c>
      <c r="E85">
        <v>84</v>
      </c>
      <c r="F85">
        <v>1</v>
      </c>
    </row>
    <row r="86" spans="1:7" x14ac:dyDescent="0.25">
      <c r="A86" s="5" t="s">
        <v>407</v>
      </c>
      <c r="B86" s="5" t="s">
        <v>480</v>
      </c>
      <c r="C86" s="3" t="str">
        <f t="shared" si="1"/>
        <v>Navegantes (Santa Catarina), Brazil-Freetown, Sierra Leone</v>
      </c>
      <c r="D86" s="3" t="s">
        <v>157</v>
      </c>
      <c r="E86">
        <v>85</v>
      </c>
      <c r="F86">
        <v>1</v>
      </c>
    </row>
    <row r="87" spans="1:7" x14ac:dyDescent="0.25">
      <c r="A87" s="6" t="s">
        <v>406</v>
      </c>
      <c r="B87" s="6" t="s">
        <v>480</v>
      </c>
      <c r="C87" s="3" t="str">
        <f t="shared" si="1"/>
        <v>Salvador (Bahia), Brazil-Freetown, Sierra Leone</v>
      </c>
      <c r="D87" s="3" t="s">
        <v>157</v>
      </c>
      <c r="E87">
        <v>86</v>
      </c>
      <c r="F87">
        <v>1</v>
      </c>
    </row>
    <row r="88" spans="1:7" x14ac:dyDescent="0.25">
      <c r="A88" s="5" t="s">
        <v>404</v>
      </c>
      <c r="B88" s="5" t="s">
        <v>480</v>
      </c>
      <c r="C88" s="3" t="str">
        <f t="shared" si="1"/>
        <v>Santos (Sao Paulo), Brazil-Freetown, Sierra Leone</v>
      </c>
      <c r="D88" s="3" t="s">
        <v>157</v>
      </c>
      <c r="E88">
        <v>87</v>
      </c>
      <c r="F88">
        <v>1</v>
      </c>
    </row>
    <row r="89" spans="1:7" x14ac:dyDescent="0.25">
      <c r="A89" t="s">
        <v>407</v>
      </c>
      <c r="B89" s="3" t="s">
        <v>434</v>
      </c>
      <c r="C89" s="3" t="str">
        <f t="shared" si="1"/>
        <v>Navegantes (Santa Catarina), Brazil-Georgetown, Guyana</v>
      </c>
      <c r="D89" s="3" t="s">
        <v>51</v>
      </c>
      <c r="E89">
        <v>88</v>
      </c>
      <c r="F89">
        <v>1</v>
      </c>
    </row>
    <row r="90" spans="1:7" x14ac:dyDescent="0.25">
      <c r="A90" t="s">
        <v>406</v>
      </c>
      <c r="B90" s="3" t="s">
        <v>434</v>
      </c>
      <c r="C90" s="3" t="str">
        <f t="shared" si="1"/>
        <v>Salvador (Bahia), Brazil-Georgetown, Guyana</v>
      </c>
      <c r="D90" s="3" t="s">
        <v>51</v>
      </c>
      <c r="E90">
        <v>89</v>
      </c>
      <c r="F90">
        <v>1</v>
      </c>
    </row>
    <row r="91" spans="1:7" x14ac:dyDescent="0.25">
      <c r="A91" t="s">
        <v>404</v>
      </c>
      <c r="B91" s="3" t="s">
        <v>434</v>
      </c>
      <c r="C91" s="3" t="str">
        <f t="shared" si="1"/>
        <v>Santos (Sao Paulo), Brazil-Georgetown, Guyana</v>
      </c>
      <c r="D91" s="3" t="s">
        <v>347</v>
      </c>
      <c r="E91">
        <v>90</v>
      </c>
      <c r="F91">
        <v>1</v>
      </c>
    </row>
    <row r="92" spans="1:7" x14ac:dyDescent="0.25">
      <c r="A92" t="s">
        <v>407</v>
      </c>
      <c r="B92" s="3" t="s">
        <v>435</v>
      </c>
      <c r="C92" s="3" t="str">
        <f t="shared" si="1"/>
        <v>Navegantes (Santa Catarina), Brazil-Guayaquil, Ecuador</v>
      </c>
      <c r="D92" s="3" t="s">
        <v>90</v>
      </c>
      <c r="E92">
        <v>91</v>
      </c>
      <c r="F92">
        <v>1</v>
      </c>
    </row>
    <row r="93" spans="1:7" x14ac:dyDescent="0.25">
      <c r="A93" t="s">
        <v>406</v>
      </c>
      <c r="B93" s="3" t="s">
        <v>435</v>
      </c>
      <c r="C93" s="3" t="str">
        <f t="shared" si="1"/>
        <v>Salvador (Bahia), Brazil-Guayaquil, Ecuador</v>
      </c>
      <c r="D93" s="3" t="s">
        <v>90</v>
      </c>
      <c r="E93">
        <v>92</v>
      </c>
      <c r="F93">
        <v>1</v>
      </c>
    </row>
    <row r="94" spans="1:7" x14ac:dyDescent="0.25">
      <c r="A94" t="s">
        <v>404</v>
      </c>
      <c r="B94" s="3" t="s">
        <v>435</v>
      </c>
      <c r="C94" s="3" t="str">
        <f t="shared" si="1"/>
        <v>Santos (Sao Paulo), Brazil-Guayaquil, Ecuador</v>
      </c>
      <c r="D94" s="3" t="s">
        <v>90</v>
      </c>
      <c r="E94">
        <v>93</v>
      </c>
      <c r="F94">
        <v>1</v>
      </c>
    </row>
    <row r="95" spans="1:7" x14ac:dyDescent="0.25">
      <c r="A95" t="s">
        <v>407</v>
      </c>
      <c r="B95" s="3" t="s">
        <v>436</v>
      </c>
      <c r="C95" s="3" t="str">
        <f t="shared" si="1"/>
        <v>Navegantes (Santa Catarina), Brazil-Houston (Texas), United States</v>
      </c>
      <c r="D95" s="3" t="s">
        <v>185</v>
      </c>
      <c r="E95">
        <v>94</v>
      </c>
      <c r="F95">
        <v>1</v>
      </c>
      <c r="G95">
        <v>1</v>
      </c>
    </row>
    <row r="96" spans="1:7" x14ac:dyDescent="0.25">
      <c r="A96" t="s">
        <v>406</v>
      </c>
      <c r="B96" s="3" t="s">
        <v>436</v>
      </c>
      <c r="C96" s="3" t="str">
        <f t="shared" si="1"/>
        <v>Salvador (Bahia), Brazil-Houston (Texas), United States</v>
      </c>
      <c r="D96" s="3" t="s">
        <v>185</v>
      </c>
      <c r="E96">
        <v>95</v>
      </c>
      <c r="F96">
        <v>1</v>
      </c>
      <c r="G96">
        <v>1</v>
      </c>
    </row>
    <row r="97" spans="1:7" x14ac:dyDescent="0.25">
      <c r="A97" t="s">
        <v>404</v>
      </c>
      <c r="B97" s="3" t="s">
        <v>436</v>
      </c>
      <c r="C97" s="3" t="str">
        <f t="shared" si="1"/>
        <v>Santos (Sao Paulo), Brazil-Houston (Texas), United States</v>
      </c>
      <c r="D97" s="3" t="s">
        <v>185</v>
      </c>
      <c r="E97">
        <v>96</v>
      </c>
      <c r="F97">
        <v>1</v>
      </c>
      <c r="G97">
        <v>1</v>
      </c>
    </row>
    <row r="98" spans="1:7" x14ac:dyDescent="0.25">
      <c r="A98" t="s">
        <v>407</v>
      </c>
      <c r="B98" s="3" t="s">
        <v>437</v>
      </c>
      <c r="C98" s="3" t="str">
        <f t="shared" si="1"/>
        <v>Navegantes (Santa Catarina), Brazil-Kingston, Jamaica</v>
      </c>
      <c r="D98" s="3" t="s">
        <v>120</v>
      </c>
      <c r="E98">
        <v>97</v>
      </c>
      <c r="F98">
        <v>1</v>
      </c>
    </row>
    <row r="99" spans="1:7" x14ac:dyDescent="0.25">
      <c r="A99" t="s">
        <v>406</v>
      </c>
      <c r="B99" s="3" t="s">
        <v>437</v>
      </c>
      <c r="C99" s="3" t="str">
        <f t="shared" si="1"/>
        <v>Salvador (Bahia), Brazil-Kingston, Jamaica</v>
      </c>
      <c r="D99" s="3" t="s">
        <v>120</v>
      </c>
      <c r="E99">
        <v>98</v>
      </c>
      <c r="F99">
        <v>1</v>
      </c>
    </row>
    <row r="100" spans="1:7" x14ac:dyDescent="0.25">
      <c r="A100" t="s">
        <v>404</v>
      </c>
      <c r="B100" s="3" t="s">
        <v>437</v>
      </c>
      <c r="C100" s="3" t="str">
        <f t="shared" si="1"/>
        <v>Santos (Sao Paulo), Brazil-Kingston, Jamaica</v>
      </c>
      <c r="D100" s="3" t="s">
        <v>120</v>
      </c>
      <c r="E100">
        <v>99</v>
      </c>
      <c r="F100">
        <v>1</v>
      </c>
    </row>
    <row r="101" spans="1:7" x14ac:dyDescent="0.25">
      <c r="A101" t="s">
        <v>407</v>
      </c>
      <c r="B101" s="6" t="s">
        <v>481</v>
      </c>
      <c r="C101" s="3" t="str">
        <f t="shared" si="1"/>
        <v>Navegantes (Santa Catarina), Brazil-Kingstown, Saint Vincent and the Grenadines</v>
      </c>
      <c r="D101" s="3" t="s">
        <v>201</v>
      </c>
      <c r="E101">
        <v>100</v>
      </c>
      <c r="F101">
        <v>1</v>
      </c>
    </row>
    <row r="102" spans="1:7" x14ac:dyDescent="0.25">
      <c r="A102" t="s">
        <v>406</v>
      </c>
      <c r="B102" s="5" t="s">
        <v>481</v>
      </c>
      <c r="C102" s="3" t="str">
        <f t="shared" si="1"/>
        <v>Salvador (Bahia), Brazil-Kingstown, Saint Vincent and the Grenadines</v>
      </c>
      <c r="D102" s="3" t="s">
        <v>201</v>
      </c>
      <c r="E102">
        <v>101</v>
      </c>
      <c r="F102">
        <v>1</v>
      </c>
    </row>
    <row r="103" spans="1:7" x14ac:dyDescent="0.25">
      <c r="A103" t="s">
        <v>404</v>
      </c>
      <c r="B103" s="6" t="s">
        <v>481</v>
      </c>
      <c r="C103" s="3" t="str">
        <f t="shared" si="1"/>
        <v>Santos (Sao Paulo), Brazil-Kingstown, Saint Vincent and the Grenadines</v>
      </c>
      <c r="D103" s="3" t="s">
        <v>201</v>
      </c>
      <c r="E103">
        <v>102</v>
      </c>
      <c r="F103">
        <v>1</v>
      </c>
    </row>
    <row r="104" spans="1:7" x14ac:dyDescent="0.25">
      <c r="A104" t="s">
        <v>407</v>
      </c>
      <c r="B104" s="3" t="s">
        <v>415</v>
      </c>
      <c r="C104" s="3" t="str">
        <f t="shared" si="1"/>
        <v>Navegantes (Santa Catarina), Brazil-KRALENDIJK, BONAIRE</v>
      </c>
      <c r="D104" s="3" t="s">
        <v>59</v>
      </c>
      <c r="E104">
        <v>103</v>
      </c>
      <c r="F104">
        <v>1</v>
      </c>
    </row>
    <row r="105" spans="1:7" x14ac:dyDescent="0.25">
      <c r="A105" t="s">
        <v>406</v>
      </c>
      <c r="B105" s="3" t="s">
        <v>415</v>
      </c>
      <c r="C105" s="3" t="str">
        <f t="shared" si="1"/>
        <v>Salvador (Bahia), Brazil-KRALENDIJK, BONAIRE</v>
      </c>
      <c r="D105" s="3" t="s">
        <v>59</v>
      </c>
      <c r="E105">
        <v>104</v>
      </c>
      <c r="F105">
        <v>1</v>
      </c>
    </row>
    <row r="106" spans="1:7" x14ac:dyDescent="0.25">
      <c r="A106" t="s">
        <v>404</v>
      </c>
      <c r="B106" s="3" t="s">
        <v>415</v>
      </c>
      <c r="C106" s="3" t="str">
        <f t="shared" si="1"/>
        <v>Santos (Sao Paulo), Brazil-KRALENDIJK, BONAIRE</v>
      </c>
      <c r="D106" s="3" t="s">
        <v>59</v>
      </c>
      <c r="E106">
        <v>105</v>
      </c>
      <c r="F106">
        <v>1</v>
      </c>
    </row>
    <row r="107" spans="1:7" x14ac:dyDescent="0.25">
      <c r="A107" t="s">
        <v>407</v>
      </c>
      <c r="B107" s="3" t="s">
        <v>438</v>
      </c>
      <c r="C107" s="3" t="str">
        <f t="shared" si="1"/>
        <v>Navegantes (Santa Catarina), Brazil-La Guaira, Venezuela</v>
      </c>
      <c r="D107" s="3" t="s">
        <v>204</v>
      </c>
      <c r="E107">
        <v>106</v>
      </c>
      <c r="F107">
        <v>1</v>
      </c>
    </row>
    <row r="108" spans="1:7" x14ac:dyDescent="0.25">
      <c r="A108" t="s">
        <v>406</v>
      </c>
      <c r="B108" s="3" t="s">
        <v>438</v>
      </c>
      <c r="C108" s="3" t="str">
        <f t="shared" si="1"/>
        <v>Salvador (Bahia), Brazil-La Guaira, Venezuela</v>
      </c>
      <c r="D108" s="3" t="s">
        <v>204</v>
      </c>
      <c r="E108">
        <v>107</v>
      </c>
      <c r="F108">
        <v>1</v>
      </c>
    </row>
    <row r="109" spans="1:7" x14ac:dyDescent="0.25">
      <c r="A109" t="s">
        <v>404</v>
      </c>
      <c r="B109" s="3" t="s">
        <v>438</v>
      </c>
      <c r="C109" s="3" t="str">
        <f t="shared" si="1"/>
        <v>Santos (Sao Paulo), Brazil-La Guaira, Venezuela</v>
      </c>
      <c r="D109" s="3" t="s">
        <v>204</v>
      </c>
      <c r="E109">
        <v>108</v>
      </c>
      <c r="F109">
        <v>1</v>
      </c>
    </row>
    <row r="110" spans="1:7" x14ac:dyDescent="0.25">
      <c r="A110" t="s">
        <v>406</v>
      </c>
      <c r="B110" s="3" t="s">
        <v>439</v>
      </c>
      <c r="C110" s="3" t="str">
        <f t="shared" si="1"/>
        <v>Salvador (Bahia), Brazil-La Paz, Bolivia</v>
      </c>
      <c r="D110" s="3" t="s">
        <v>17</v>
      </c>
      <c r="E110">
        <v>109</v>
      </c>
      <c r="F110">
        <v>1</v>
      </c>
    </row>
    <row r="111" spans="1:7" x14ac:dyDescent="0.25">
      <c r="A111" t="s">
        <v>404</v>
      </c>
      <c r="B111" s="3" t="s">
        <v>439</v>
      </c>
      <c r="C111" s="3" t="str">
        <f t="shared" si="1"/>
        <v>Santos (Sao Paulo), Brazil-La Paz, Bolivia</v>
      </c>
      <c r="D111" s="3" t="s">
        <v>17</v>
      </c>
      <c r="E111">
        <v>110</v>
      </c>
      <c r="F111">
        <v>1</v>
      </c>
    </row>
    <row r="112" spans="1:7" x14ac:dyDescent="0.25">
      <c r="A112" s="5" t="s">
        <v>407</v>
      </c>
      <c r="B112" s="5" t="s">
        <v>440</v>
      </c>
      <c r="C112" s="3" t="str">
        <f t="shared" si="1"/>
        <v>Navegantes (Santa Catarina), Brazil-Le Havre (Seine-Maritime), France</v>
      </c>
      <c r="D112" s="3" t="s">
        <v>22</v>
      </c>
      <c r="E112">
        <v>111</v>
      </c>
      <c r="F112">
        <v>1</v>
      </c>
    </row>
    <row r="113" spans="1:7" x14ac:dyDescent="0.25">
      <c r="A113" s="6" t="s">
        <v>406</v>
      </c>
      <c r="B113" s="6" t="s">
        <v>440</v>
      </c>
      <c r="C113" s="3" t="str">
        <f t="shared" si="1"/>
        <v>Salvador (Bahia), Brazil-Le Havre (Seine-Maritime), France</v>
      </c>
      <c r="D113" s="3" t="s">
        <v>22</v>
      </c>
      <c r="E113">
        <v>112</v>
      </c>
      <c r="F113">
        <v>1</v>
      </c>
    </row>
    <row r="114" spans="1:7" x14ac:dyDescent="0.25">
      <c r="A114" s="5" t="s">
        <v>404</v>
      </c>
      <c r="B114" s="5" t="s">
        <v>440</v>
      </c>
      <c r="C114" s="3" t="str">
        <f t="shared" si="1"/>
        <v>Santos (Sao Paulo), Brazil-Le Havre (Seine-Maritime), France</v>
      </c>
      <c r="D114" s="3" t="s">
        <v>22</v>
      </c>
      <c r="E114">
        <v>113</v>
      </c>
      <c r="F114">
        <v>1</v>
      </c>
    </row>
    <row r="115" spans="1:7" x14ac:dyDescent="0.25">
      <c r="A115" t="s">
        <v>407</v>
      </c>
      <c r="B115" s="3" t="s">
        <v>441</v>
      </c>
      <c r="C115" s="3" t="str">
        <f t="shared" si="1"/>
        <v>Navegantes (Santa Catarina), Brazil-Lisbon, Portugal</v>
      </c>
      <c r="D115" s="3" t="s">
        <v>151</v>
      </c>
      <c r="E115">
        <v>114</v>
      </c>
      <c r="F115">
        <v>1</v>
      </c>
    </row>
    <row r="116" spans="1:7" x14ac:dyDescent="0.25">
      <c r="A116" t="s">
        <v>406</v>
      </c>
      <c r="B116" s="3" t="s">
        <v>441</v>
      </c>
      <c r="C116" s="3" t="str">
        <f t="shared" si="1"/>
        <v>Salvador (Bahia), Brazil-Lisbon, Portugal</v>
      </c>
      <c r="D116" s="3" t="s">
        <v>151</v>
      </c>
      <c r="E116">
        <v>115</v>
      </c>
      <c r="F116">
        <v>1</v>
      </c>
    </row>
    <row r="117" spans="1:7" x14ac:dyDescent="0.25">
      <c r="A117" t="s">
        <v>404</v>
      </c>
      <c r="B117" s="3" t="s">
        <v>441</v>
      </c>
      <c r="C117" s="3" t="str">
        <f t="shared" si="1"/>
        <v>Santos (Sao Paulo), Brazil-Lisbon, Portugal</v>
      </c>
      <c r="D117" s="3" t="s">
        <v>151</v>
      </c>
      <c r="E117">
        <v>116</v>
      </c>
      <c r="F117">
        <v>1</v>
      </c>
    </row>
    <row r="118" spans="1:7" x14ac:dyDescent="0.25">
      <c r="A118" t="s">
        <v>407</v>
      </c>
      <c r="B118" s="3" t="s">
        <v>442</v>
      </c>
      <c r="C118" s="3" t="str">
        <f t="shared" si="1"/>
        <v>Navegantes (Santa Catarina), Brazil-London Gateway, United Kingdom</v>
      </c>
      <c r="D118" s="3" t="s">
        <v>102</v>
      </c>
      <c r="E118">
        <v>117</v>
      </c>
      <c r="F118">
        <v>1</v>
      </c>
    </row>
    <row r="119" spans="1:7" x14ac:dyDescent="0.25">
      <c r="A119" t="s">
        <v>406</v>
      </c>
      <c r="B119" s="3" t="s">
        <v>442</v>
      </c>
      <c r="C119" s="3" t="str">
        <f t="shared" si="1"/>
        <v>Salvador (Bahia), Brazil-London Gateway, United Kingdom</v>
      </c>
      <c r="D119" s="3" t="s">
        <v>102</v>
      </c>
      <c r="E119">
        <v>118</v>
      </c>
      <c r="F119">
        <v>1</v>
      </c>
    </row>
    <row r="120" spans="1:7" x14ac:dyDescent="0.25">
      <c r="A120" t="s">
        <v>404</v>
      </c>
      <c r="B120" s="3" t="s">
        <v>442</v>
      </c>
      <c r="C120" s="3" t="str">
        <f t="shared" si="1"/>
        <v>Santos (Sao Paulo), Brazil-London Gateway, United Kingdom</v>
      </c>
      <c r="D120" s="3" t="s">
        <v>102</v>
      </c>
      <c r="E120">
        <v>119</v>
      </c>
      <c r="F120">
        <v>1</v>
      </c>
    </row>
    <row r="121" spans="1:7" x14ac:dyDescent="0.25">
      <c r="A121" t="s">
        <v>407</v>
      </c>
      <c r="B121" s="3" t="s">
        <v>443</v>
      </c>
      <c r="C121" s="3" t="str">
        <f t="shared" si="1"/>
        <v>Navegantes (Santa Catarina), Brazil-Los Angeles (California), United States</v>
      </c>
      <c r="D121" s="3" t="s">
        <v>187</v>
      </c>
      <c r="E121">
        <v>120</v>
      </c>
      <c r="F121">
        <v>1</v>
      </c>
      <c r="G121">
        <v>1</v>
      </c>
    </row>
    <row r="122" spans="1:7" x14ac:dyDescent="0.25">
      <c r="A122" t="s">
        <v>406</v>
      </c>
      <c r="B122" s="3" t="s">
        <v>443</v>
      </c>
      <c r="C122" s="3" t="str">
        <f t="shared" si="1"/>
        <v>Salvador (Bahia), Brazil-Los Angeles (California), United States</v>
      </c>
      <c r="D122" s="3" t="s">
        <v>187</v>
      </c>
      <c r="E122">
        <v>121</v>
      </c>
      <c r="F122">
        <v>1</v>
      </c>
      <c r="G122">
        <v>1</v>
      </c>
    </row>
    <row r="123" spans="1:7" x14ac:dyDescent="0.25">
      <c r="A123" t="s">
        <v>404</v>
      </c>
      <c r="B123" s="3" t="s">
        <v>443</v>
      </c>
      <c r="C123" s="3" t="str">
        <f t="shared" si="1"/>
        <v>Santos (Sao Paulo), Brazil-Los Angeles (California), United States</v>
      </c>
      <c r="D123" s="3" t="s">
        <v>187</v>
      </c>
      <c r="E123">
        <v>122</v>
      </c>
      <c r="F123">
        <v>1</v>
      </c>
      <c r="G123">
        <v>1</v>
      </c>
    </row>
    <row r="124" spans="1:7" x14ac:dyDescent="0.25">
      <c r="A124" t="s">
        <v>407</v>
      </c>
      <c r="B124" s="3" t="s">
        <v>444</v>
      </c>
      <c r="C124" s="3" t="str">
        <f t="shared" si="1"/>
        <v>Navegantes (Santa Catarina), Brazil-Luanda, Angola</v>
      </c>
      <c r="D124" s="3" t="s">
        <v>47</v>
      </c>
      <c r="E124">
        <v>123</v>
      </c>
      <c r="F124">
        <v>1</v>
      </c>
    </row>
    <row r="125" spans="1:7" x14ac:dyDescent="0.25">
      <c r="A125" t="s">
        <v>406</v>
      </c>
      <c r="B125" s="3" t="s">
        <v>444</v>
      </c>
      <c r="C125" s="3" t="str">
        <f t="shared" si="1"/>
        <v>Salvador (Bahia), Brazil-Luanda, Angola</v>
      </c>
      <c r="D125" s="3" t="s">
        <v>47</v>
      </c>
      <c r="E125">
        <v>124</v>
      </c>
      <c r="F125">
        <v>1</v>
      </c>
    </row>
    <row r="126" spans="1:7" x14ac:dyDescent="0.25">
      <c r="A126" t="s">
        <v>404</v>
      </c>
      <c r="B126" s="3" t="s">
        <v>444</v>
      </c>
      <c r="C126" s="3" t="str">
        <f t="shared" si="1"/>
        <v>Santos (Sao Paulo), Brazil-Luanda, Angola</v>
      </c>
      <c r="D126" s="3" t="s">
        <v>47</v>
      </c>
      <c r="E126">
        <v>125</v>
      </c>
      <c r="F126">
        <v>1</v>
      </c>
    </row>
    <row r="127" spans="1:7" x14ac:dyDescent="0.25">
      <c r="A127" t="s">
        <v>407</v>
      </c>
      <c r="B127" s="3" t="s">
        <v>445</v>
      </c>
      <c r="C127" s="3" t="str">
        <f t="shared" si="1"/>
        <v>Navegantes (Santa Catarina), Brazil-Madrid, Spain</v>
      </c>
      <c r="D127" s="3" t="s">
        <v>97</v>
      </c>
      <c r="E127">
        <v>126</v>
      </c>
      <c r="F127">
        <v>1</v>
      </c>
    </row>
    <row r="128" spans="1:7" x14ac:dyDescent="0.25">
      <c r="A128" t="s">
        <v>406</v>
      </c>
      <c r="B128" s="3" t="s">
        <v>445</v>
      </c>
      <c r="C128" s="3" t="str">
        <f t="shared" si="1"/>
        <v>Salvador (Bahia), Brazil-Madrid, Spain</v>
      </c>
      <c r="D128" s="3" t="s">
        <v>97</v>
      </c>
      <c r="E128">
        <v>127</v>
      </c>
      <c r="F128">
        <v>1</v>
      </c>
    </row>
    <row r="129" spans="1:6" x14ac:dyDescent="0.25">
      <c r="A129" t="s">
        <v>404</v>
      </c>
      <c r="B129" s="3" t="s">
        <v>445</v>
      </c>
      <c r="C129" s="3" t="str">
        <f t="shared" si="1"/>
        <v>Santos (Sao Paulo), Brazil-Madrid, Spain</v>
      </c>
      <c r="D129" s="3" t="s">
        <v>97</v>
      </c>
      <c r="E129">
        <v>128</v>
      </c>
      <c r="F129">
        <v>1</v>
      </c>
    </row>
    <row r="130" spans="1:6" x14ac:dyDescent="0.25">
      <c r="A130" t="s">
        <v>407</v>
      </c>
      <c r="B130" s="3" t="s">
        <v>446</v>
      </c>
      <c r="C130" s="3" t="str">
        <f t="shared" ref="C130:C193" si="2">A130&amp;"-"&amp;B130</f>
        <v>Navegantes (Santa Catarina), Brazil-Malabo, Equatorial Guinea</v>
      </c>
      <c r="D130" s="3" t="s">
        <v>107</v>
      </c>
      <c r="E130">
        <v>129</v>
      </c>
      <c r="F130">
        <v>1</v>
      </c>
    </row>
    <row r="131" spans="1:6" x14ac:dyDescent="0.25">
      <c r="A131" t="s">
        <v>406</v>
      </c>
      <c r="B131" s="3" t="s">
        <v>446</v>
      </c>
      <c r="C131" s="3" t="str">
        <f t="shared" si="2"/>
        <v>Salvador (Bahia), Brazil-Malabo, Equatorial Guinea</v>
      </c>
      <c r="D131" s="3" t="s">
        <v>107</v>
      </c>
      <c r="E131">
        <v>130</v>
      </c>
      <c r="F131">
        <v>1</v>
      </c>
    </row>
    <row r="132" spans="1:6" x14ac:dyDescent="0.25">
      <c r="A132" t="s">
        <v>404</v>
      </c>
      <c r="B132" s="3" t="s">
        <v>446</v>
      </c>
      <c r="C132" s="3" t="str">
        <f t="shared" si="2"/>
        <v>Santos (Sao Paulo), Brazil-Malabo, Equatorial Guinea</v>
      </c>
      <c r="D132" s="3" t="s">
        <v>107</v>
      </c>
      <c r="E132">
        <v>131</v>
      </c>
      <c r="F132">
        <v>1</v>
      </c>
    </row>
    <row r="133" spans="1:6" x14ac:dyDescent="0.25">
      <c r="A133" t="s">
        <v>407</v>
      </c>
      <c r="B133" s="3" t="s">
        <v>447</v>
      </c>
      <c r="C133" s="3" t="str">
        <f t="shared" si="2"/>
        <v>Navegantes (Santa Catarina), Brazil-Maputo, Mozambique</v>
      </c>
      <c r="D133" s="3" t="s">
        <v>139</v>
      </c>
      <c r="E133">
        <v>132</v>
      </c>
      <c r="F133">
        <v>1</v>
      </c>
    </row>
    <row r="134" spans="1:6" x14ac:dyDescent="0.25">
      <c r="A134" t="s">
        <v>406</v>
      </c>
      <c r="B134" s="3" t="s">
        <v>447</v>
      </c>
      <c r="C134" s="3" t="str">
        <f t="shared" si="2"/>
        <v>Salvador (Bahia), Brazil-Maputo, Mozambique</v>
      </c>
      <c r="D134" s="3" t="s">
        <v>139</v>
      </c>
      <c r="E134">
        <v>133</v>
      </c>
      <c r="F134">
        <v>1</v>
      </c>
    </row>
    <row r="135" spans="1:6" x14ac:dyDescent="0.25">
      <c r="A135" t="s">
        <v>404</v>
      </c>
      <c r="B135" s="3" t="s">
        <v>447</v>
      </c>
      <c r="C135" s="3" t="str">
        <f t="shared" si="2"/>
        <v>Santos (Sao Paulo), Brazil-Maputo, Mozambique</v>
      </c>
      <c r="D135" s="3" t="s">
        <v>139</v>
      </c>
      <c r="E135">
        <v>134</v>
      </c>
      <c r="F135">
        <v>1</v>
      </c>
    </row>
    <row r="136" spans="1:6" x14ac:dyDescent="0.25">
      <c r="A136" t="s">
        <v>407</v>
      </c>
      <c r="B136" s="3" t="s">
        <v>448</v>
      </c>
      <c r="C136" s="3" t="str">
        <f t="shared" si="2"/>
        <v>Navegantes (Santa Catarina), Brazil-Monrovia, Liberia</v>
      </c>
      <c r="D136" s="3" t="s">
        <v>126</v>
      </c>
      <c r="E136">
        <v>135</v>
      </c>
      <c r="F136">
        <v>1</v>
      </c>
    </row>
    <row r="137" spans="1:6" x14ac:dyDescent="0.25">
      <c r="A137" t="s">
        <v>406</v>
      </c>
      <c r="B137" s="3" t="s">
        <v>448</v>
      </c>
      <c r="C137" s="3" t="str">
        <f t="shared" si="2"/>
        <v>Salvador (Bahia), Brazil-Monrovia, Liberia</v>
      </c>
      <c r="D137" s="3" t="s">
        <v>126</v>
      </c>
      <c r="E137">
        <v>136</v>
      </c>
      <c r="F137">
        <v>1</v>
      </c>
    </row>
    <row r="138" spans="1:6" x14ac:dyDescent="0.25">
      <c r="A138" t="s">
        <v>404</v>
      </c>
      <c r="B138" s="3" t="s">
        <v>448</v>
      </c>
      <c r="C138" s="3" t="str">
        <f t="shared" si="2"/>
        <v>Santos (Sao Paulo), Brazil-Monrovia, Liberia</v>
      </c>
      <c r="D138" s="3" t="s">
        <v>126</v>
      </c>
      <c r="E138">
        <v>137</v>
      </c>
      <c r="F138">
        <v>1</v>
      </c>
    </row>
    <row r="139" spans="1:6" x14ac:dyDescent="0.25">
      <c r="A139" t="s">
        <v>407</v>
      </c>
      <c r="B139" s="3" t="s">
        <v>449</v>
      </c>
      <c r="C139" s="3" t="str">
        <f t="shared" si="2"/>
        <v>Navegantes (Santa Catarina), Brazil-Montevideo, Uruguay</v>
      </c>
      <c r="D139" s="3" t="s">
        <v>197</v>
      </c>
      <c r="E139">
        <v>138</v>
      </c>
      <c r="F139">
        <v>1</v>
      </c>
    </row>
    <row r="140" spans="1:6" x14ac:dyDescent="0.25">
      <c r="A140" t="s">
        <v>406</v>
      </c>
      <c r="B140" s="3" t="s">
        <v>449</v>
      </c>
      <c r="C140" s="3" t="str">
        <f t="shared" si="2"/>
        <v>Salvador (Bahia), Brazil-Montevideo, Uruguay</v>
      </c>
      <c r="D140" s="3" t="s">
        <v>197</v>
      </c>
      <c r="E140">
        <v>139</v>
      </c>
      <c r="F140">
        <v>1</v>
      </c>
    </row>
    <row r="141" spans="1:6" x14ac:dyDescent="0.25">
      <c r="A141" t="s">
        <v>404</v>
      </c>
      <c r="B141" s="3" t="s">
        <v>449</v>
      </c>
      <c r="C141" s="3" t="str">
        <f t="shared" si="2"/>
        <v>Santos (Sao Paulo), Brazil-Montevideo, Uruguay</v>
      </c>
      <c r="D141" s="3" t="s">
        <v>197</v>
      </c>
      <c r="E141">
        <v>140</v>
      </c>
      <c r="F141">
        <v>1</v>
      </c>
    </row>
    <row r="142" spans="1:6" x14ac:dyDescent="0.25">
      <c r="A142" t="s">
        <v>407</v>
      </c>
      <c r="B142" s="3" t="s">
        <v>450</v>
      </c>
      <c r="C142" s="3" t="str">
        <f t="shared" si="2"/>
        <v>Navegantes (Santa Catarina), Brazil-Nassau, Bahamas</v>
      </c>
      <c r="D142" s="3" t="s">
        <v>63</v>
      </c>
      <c r="E142">
        <v>141</v>
      </c>
      <c r="F142">
        <v>1</v>
      </c>
    </row>
    <row r="143" spans="1:6" x14ac:dyDescent="0.25">
      <c r="A143" t="s">
        <v>406</v>
      </c>
      <c r="B143" s="3" t="s">
        <v>450</v>
      </c>
      <c r="C143" s="3" t="str">
        <f t="shared" si="2"/>
        <v>Salvador (Bahia), Brazil-Nassau, Bahamas</v>
      </c>
      <c r="D143" s="3" t="s">
        <v>63</v>
      </c>
      <c r="E143">
        <v>142</v>
      </c>
      <c r="F143">
        <v>1</v>
      </c>
    </row>
    <row r="144" spans="1:6" x14ac:dyDescent="0.25">
      <c r="A144" t="s">
        <v>404</v>
      </c>
      <c r="B144" s="3" t="s">
        <v>450</v>
      </c>
      <c r="C144" s="3" t="str">
        <f t="shared" si="2"/>
        <v>Santos (Sao Paulo), Brazil-Nassau, Bahamas</v>
      </c>
      <c r="D144" s="3" t="s">
        <v>63</v>
      </c>
      <c r="E144">
        <v>143</v>
      </c>
      <c r="F144">
        <v>1</v>
      </c>
    </row>
    <row r="145" spans="1:7" x14ac:dyDescent="0.25">
      <c r="A145" t="s">
        <v>407</v>
      </c>
      <c r="B145" s="3" t="s">
        <v>451</v>
      </c>
      <c r="C145" s="3" t="str">
        <f t="shared" si="2"/>
        <v>Navegantes (Santa Catarina), Brazil-New York (New York), United States</v>
      </c>
      <c r="D145" s="3" t="s">
        <v>191</v>
      </c>
      <c r="E145">
        <v>144</v>
      </c>
      <c r="F145">
        <v>1</v>
      </c>
      <c r="G145">
        <v>1</v>
      </c>
    </row>
    <row r="146" spans="1:7" x14ac:dyDescent="0.25">
      <c r="A146" t="s">
        <v>406</v>
      </c>
      <c r="B146" s="3" t="s">
        <v>451</v>
      </c>
      <c r="C146" s="3" t="str">
        <f t="shared" si="2"/>
        <v>Salvador (Bahia), Brazil-New York (New York), United States</v>
      </c>
      <c r="D146" s="3" t="s">
        <v>191</v>
      </c>
      <c r="E146">
        <v>145</v>
      </c>
      <c r="F146">
        <v>1</v>
      </c>
      <c r="G146">
        <v>1</v>
      </c>
    </row>
    <row r="147" spans="1:7" x14ac:dyDescent="0.25">
      <c r="A147" t="s">
        <v>404</v>
      </c>
      <c r="B147" s="3" t="s">
        <v>451</v>
      </c>
      <c r="C147" s="3" t="str">
        <f t="shared" si="2"/>
        <v>Santos (Sao Paulo), Brazil-New York (New York), United States</v>
      </c>
      <c r="D147" s="3" t="s">
        <v>191</v>
      </c>
      <c r="E147">
        <v>146</v>
      </c>
      <c r="F147">
        <v>1</v>
      </c>
      <c r="G147">
        <v>1</v>
      </c>
    </row>
    <row r="148" spans="1:7" x14ac:dyDescent="0.25">
      <c r="A148" t="s">
        <v>407</v>
      </c>
      <c r="B148" s="3" t="s">
        <v>452</v>
      </c>
      <c r="C148" s="3" t="str">
        <f t="shared" si="2"/>
        <v>Navegantes (Santa Catarina), Brazil-Oranjestad, Aruba</v>
      </c>
      <c r="D148" s="3" t="s">
        <v>55</v>
      </c>
      <c r="E148">
        <v>147</v>
      </c>
      <c r="F148">
        <v>1</v>
      </c>
    </row>
    <row r="149" spans="1:7" x14ac:dyDescent="0.25">
      <c r="A149" t="s">
        <v>406</v>
      </c>
      <c r="B149" s="3" t="s">
        <v>452</v>
      </c>
      <c r="C149" s="3" t="str">
        <f t="shared" si="2"/>
        <v>Salvador (Bahia), Brazil-Oranjestad, Aruba</v>
      </c>
      <c r="D149" s="3" t="s">
        <v>55</v>
      </c>
      <c r="E149">
        <v>148</v>
      </c>
      <c r="F149">
        <v>1</v>
      </c>
    </row>
    <row r="150" spans="1:7" x14ac:dyDescent="0.25">
      <c r="A150" t="s">
        <v>404</v>
      </c>
      <c r="B150" s="3" t="s">
        <v>452</v>
      </c>
      <c r="C150" s="3" t="str">
        <f t="shared" si="2"/>
        <v>Santos (Sao Paulo), Brazil-Oranjestad, Aruba</v>
      </c>
      <c r="D150" s="3" t="s">
        <v>55</v>
      </c>
      <c r="E150">
        <v>149</v>
      </c>
      <c r="F150">
        <v>1</v>
      </c>
    </row>
    <row r="151" spans="1:7" x14ac:dyDescent="0.25">
      <c r="A151" t="s">
        <v>407</v>
      </c>
      <c r="B151" s="3" t="s">
        <v>453</v>
      </c>
      <c r="C151" s="3" t="str">
        <f t="shared" si="2"/>
        <v>Navegantes (Santa Catarina), Brazil-Paramaribo, Suriname</v>
      </c>
      <c r="D151" s="3" t="s">
        <v>161</v>
      </c>
      <c r="E151">
        <v>150</v>
      </c>
      <c r="F151">
        <v>1</v>
      </c>
    </row>
    <row r="152" spans="1:7" x14ac:dyDescent="0.25">
      <c r="A152" t="s">
        <v>406</v>
      </c>
      <c r="B152" s="3" t="s">
        <v>453</v>
      </c>
      <c r="C152" s="3" t="str">
        <f t="shared" si="2"/>
        <v>Salvador (Bahia), Brazil-Paramaribo, Suriname</v>
      </c>
      <c r="D152" s="3" t="s">
        <v>161</v>
      </c>
      <c r="E152">
        <v>151</v>
      </c>
      <c r="F152">
        <v>1</v>
      </c>
    </row>
    <row r="153" spans="1:7" x14ac:dyDescent="0.25">
      <c r="A153" t="s">
        <v>404</v>
      </c>
      <c r="B153" s="3" t="s">
        <v>453</v>
      </c>
      <c r="C153" s="3" t="str">
        <f t="shared" si="2"/>
        <v>Santos (Sao Paulo), Brazil-Paramaribo, Suriname</v>
      </c>
      <c r="D153" s="3" t="s">
        <v>161</v>
      </c>
      <c r="E153">
        <v>152</v>
      </c>
      <c r="F153">
        <v>1</v>
      </c>
    </row>
    <row r="154" spans="1:7" x14ac:dyDescent="0.25">
      <c r="A154" t="s">
        <v>407</v>
      </c>
      <c r="B154" s="3" t="s">
        <v>454</v>
      </c>
      <c r="C154" s="3" t="str">
        <f t="shared" si="2"/>
        <v>Navegantes (Santa Catarina), Brazil-Pointe Noire, Congo</v>
      </c>
      <c r="D154" s="3" t="s">
        <v>31</v>
      </c>
      <c r="E154">
        <v>153</v>
      </c>
      <c r="F154">
        <v>1</v>
      </c>
    </row>
    <row r="155" spans="1:7" x14ac:dyDescent="0.25">
      <c r="A155" t="s">
        <v>406</v>
      </c>
      <c r="B155" s="3" t="s">
        <v>454</v>
      </c>
      <c r="C155" s="3" t="str">
        <f t="shared" si="2"/>
        <v>Salvador (Bahia), Brazil-Pointe Noire, Congo</v>
      </c>
      <c r="D155" s="3" t="s">
        <v>31</v>
      </c>
      <c r="E155">
        <v>154</v>
      </c>
      <c r="F155">
        <v>1</v>
      </c>
    </row>
    <row r="156" spans="1:7" x14ac:dyDescent="0.25">
      <c r="A156" t="s">
        <v>404</v>
      </c>
      <c r="B156" s="3" t="s">
        <v>454</v>
      </c>
      <c r="C156" s="3" t="str">
        <f t="shared" si="2"/>
        <v>Santos (Sao Paulo), Brazil-Pointe Noire, Congo</v>
      </c>
      <c r="D156" s="3" t="s">
        <v>31</v>
      </c>
      <c r="E156">
        <v>155</v>
      </c>
      <c r="F156">
        <v>1</v>
      </c>
    </row>
    <row r="157" spans="1:7" x14ac:dyDescent="0.25">
      <c r="A157" t="s">
        <v>456</v>
      </c>
      <c r="B157" s="3" t="s">
        <v>455</v>
      </c>
      <c r="C157" s="3" t="str">
        <f t="shared" si="2"/>
        <v>Itapoa (Santa Catarina), Brazil-Port Elizabeth (Eastern Cape), South Africa</v>
      </c>
      <c r="D157" s="3" t="s">
        <v>38</v>
      </c>
      <c r="E157">
        <v>156</v>
      </c>
      <c r="F157">
        <v>1</v>
      </c>
    </row>
    <row r="158" spans="1:7" x14ac:dyDescent="0.25">
      <c r="A158" t="s">
        <v>406</v>
      </c>
      <c r="B158" s="3" t="s">
        <v>455</v>
      </c>
      <c r="C158" s="3" t="str">
        <f t="shared" si="2"/>
        <v>Salvador (Bahia), Brazil-Port Elizabeth (Eastern Cape), South Africa</v>
      </c>
      <c r="D158" s="3" t="s">
        <v>38</v>
      </c>
      <c r="E158">
        <v>157</v>
      </c>
      <c r="F158">
        <v>1</v>
      </c>
    </row>
    <row r="159" spans="1:7" x14ac:dyDescent="0.25">
      <c r="A159" t="s">
        <v>404</v>
      </c>
      <c r="B159" s="3" t="s">
        <v>455</v>
      </c>
      <c r="C159" s="3" t="str">
        <f t="shared" si="2"/>
        <v>Santos (Sao Paulo), Brazil-Port Elizabeth (Eastern Cape), South Africa</v>
      </c>
      <c r="D159" s="3" t="s">
        <v>38</v>
      </c>
      <c r="E159">
        <v>158</v>
      </c>
      <c r="F159">
        <v>1</v>
      </c>
    </row>
    <row r="160" spans="1:7" x14ac:dyDescent="0.25">
      <c r="A160" t="s">
        <v>407</v>
      </c>
      <c r="B160" s="3" t="s">
        <v>457</v>
      </c>
      <c r="C160" s="3" t="str">
        <f t="shared" si="2"/>
        <v>Navegantes (Santa Catarina), Brazil-Port Everglades (Florida), United States</v>
      </c>
      <c r="D160" s="3" t="s">
        <v>195</v>
      </c>
      <c r="E160">
        <v>159</v>
      </c>
      <c r="F160">
        <v>1</v>
      </c>
      <c r="G160">
        <v>1</v>
      </c>
    </row>
    <row r="161" spans="1:7" x14ac:dyDescent="0.25">
      <c r="A161" t="s">
        <v>406</v>
      </c>
      <c r="B161" s="3" t="s">
        <v>457</v>
      </c>
      <c r="C161" s="3" t="str">
        <f t="shared" si="2"/>
        <v>Salvador (Bahia), Brazil-Port Everglades (Florida), United States</v>
      </c>
      <c r="D161" s="3" t="s">
        <v>195</v>
      </c>
      <c r="E161">
        <v>160</v>
      </c>
      <c r="F161">
        <v>1</v>
      </c>
      <c r="G161">
        <v>1</v>
      </c>
    </row>
    <row r="162" spans="1:7" x14ac:dyDescent="0.25">
      <c r="A162" t="s">
        <v>404</v>
      </c>
      <c r="B162" s="3" t="s">
        <v>457</v>
      </c>
      <c r="C162" s="3" t="str">
        <f t="shared" si="2"/>
        <v>Santos (Sao Paulo), Brazil-Port Everglades (Florida), United States</v>
      </c>
      <c r="D162" s="3" t="s">
        <v>195</v>
      </c>
      <c r="E162">
        <v>161</v>
      </c>
      <c r="F162">
        <v>1</v>
      </c>
      <c r="G162">
        <v>1</v>
      </c>
    </row>
    <row r="163" spans="1:7" x14ac:dyDescent="0.25">
      <c r="A163" s="6" t="s">
        <v>407</v>
      </c>
      <c r="B163" s="6" t="s">
        <v>482</v>
      </c>
      <c r="C163" s="3" t="str">
        <f t="shared" si="2"/>
        <v>Navegantes (Santa Catarina), Brazil-Port Louis, Mauritius</v>
      </c>
      <c r="D163" s="3" t="s">
        <v>133</v>
      </c>
      <c r="E163">
        <v>162</v>
      </c>
      <c r="F163">
        <v>1</v>
      </c>
    </row>
    <row r="164" spans="1:7" x14ac:dyDescent="0.25">
      <c r="A164" s="5" t="s">
        <v>406</v>
      </c>
      <c r="B164" s="5" t="s">
        <v>482</v>
      </c>
      <c r="C164" s="3" t="str">
        <f t="shared" si="2"/>
        <v>Salvador (Bahia), Brazil-Port Louis, Mauritius</v>
      </c>
      <c r="D164" s="3" t="s">
        <v>133</v>
      </c>
      <c r="E164">
        <v>163</v>
      </c>
      <c r="F164">
        <v>1</v>
      </c>
    </row>
    <row r="165" spans="1:7" x14ac:dyDescent="0.25">
      <c r="A165" s="6" t="s">
        <v>404</v>
      </c>
      <c r="B165" s="6" t="s">
        <v>482</v>
      </c>
      <c r="C165" s="3" t="str">
        <f t="shared" si="2"/>
        <v>Santos (Sao Paulo), Brazil-Port Louis, Mauritius</v>
      </c>
      <c r="D165" s="3" t="s">
        <v>133</v>
      </c>
      <c r="E165">
        <v>164</v>
      </c>
      <c r="F165">
        <v>1</v>
      </c>
    </row>
    <row r="166" spans="1:7" x14ac:dyDescent="0.25">
      <c r="A166" s="5" t="s">
        <v>407</v>
      </c>
      <c r="B166" s="5" t="s">
        <v>483</v>
      </c>
      <c r="C166" s="3" t="str">
        <f t="shared" si="2"/>
        <v>Navegantes (Santa Catarina), Brazil-Port of Spain-Trinidad, Trinidad and Tobago</v>
      </c>
      <c r="D166" s="3" t="s">
        <v>165</v>
      </c>
      <c r="E166">
        <v>165</v>
      </c>
      <c r="F166">
        <v>1</v>
      </c>
    </row>
    <row r="167" spans="1:7" x14ac:dyDescent="0.25">
      <c r="A167" s="6" t="s">
        <v>406</v>
      </c>
      <c r="B167" s="6" t="s">
        <v>483</v>
      </c>
      <c r="C167" s="3" t="str">
        <f t="shared" si="2"/>
        <v>Salvador (Bahia), Brazil-Port of Spain-Trinidad, Trinidad and Tobago</v>
      </c>
      <c r="D167" s="3" t="s">
        <v>165</v>
      </c>
      <c r="E167">
        <v>166</v>
      </c>
      <c r="F167">
        <v>1</v>
      </c>
    </row>
    <row r="168" spans="1:7" x14ac:dyDescent="0.25">
      <c r="A168" s="5" t="s">
        <v>404</v>
      </c>
      <c r="B168" s="5" t="s">
        <v>483</v>
      </c>
      <c r="C168" s="3" t="str">
        <f t="shared" si="2"/>
        <v>Santos (Sao Paulo), Brazil-Port of Spain-Trinidad, Trinidad and Tobago</v>
      </c>
      <c r="D168" s="3" t="s">
        <v>165</v>
      </c>
      <c r="E168">
        <v>167</v>
      </c>
      <c r="F168">
        <v>1</v>
      </c>
    </row>
    <row r="169" spans="1:7" x14ac:dyDescent="0.25">
      <c r="A169" t="s">
        <v>407</v>
      </c>
      <c r="B169" s="3" t="s">
        <v>458</v>
      </c>
      <c r="C169" s="3" t="str">
        <f t="shared" si="2"/>
        <v>Navegantes (Santa Catarina), Brazil-Port-au-Prince, Haiti</v>
      </c>
      <c r="D169" s="3" t="s">
        <v>117</v>
      </c>
      <c r="E169">
        <v>168</v>
      </c>
      <c r="F169">
        <v>1</v>
      </c>
    </row>
    <row r="170" spans="1:7" x14ac:dyDescent="0.25">
      <c r="A170" t="s">
        <v>406</v>
      </c>
      <c r="B170" s="3" t="s">
        <v>458</v>
      </c>
      <c r="C170" s="3" t="str">
        <f t="shared" si="2"/>
        <v>Salvador (Bahia), Brazil-Port-au-Prince, Haiti</v>
      </c>
      <c r="D170" s="3" t="s">
        <v>117</v>
      </c>
      <c r="E170">
        <v>169</v>
      </c>
      <c r="F170">
        <v>1</v>
      </c>
    </row>
    <row r="171" spans="1:7" x14ac:dyDescent="0.25">
      <c r="A171" t="s">
        <v>404</v>
      </c>
      <c r="B171" s="3" t="s">
        <v>458</v>
      </c>
      <c r="C171" s="3" t="str">
        <f t="shared" si="2"/>
        <v>Santos (Sao Paulo), Brazil-Port-au-Prince, Haiti</v>
      </c>
      <c r="D171" s="3" t="s">
        <v>117</v>
      </c>
      <c r="E171">
        <v>170</v>
      </c>
      <c r="F171">
        <v>1</v>
      </c>
    </row>
    <row r="172" spans="1:7" x14ac:dyDescent="0.25">
      <c r="A172" t="s">
        <v>407</v>
      </c>
      <c r="B172" s="3" t="s">
        <v>459</v>
      </c>
      <c r="C172" s="3" t="str">
        <f t="shared" si="2"/>
        <v>Navegantes (Santa Catarina), Brazil-Providenciales, Turks and Caicos</v>
      </c>
      <c r="D172" s="3" t="s">
        <v>163</v>
      </c>
      <c r="E172">
        <v>171</v>
      </c>
      <c r="F172">
        <v>1</v>
      </c>
      <c r="G172">
        <v>1</v>
      </c>
    </row>
    <row r="173" spans="1:7" x14ac:dyDescent="0.25">
      <c r="A173" t="s">
        <v>406</v>
      </c>
      <c r="B173" s="3" t="s">
        <v>459</v>
      </c>
      <c r="C173" s="3" t="str">
        <f t="shared" si="2"/>
        <v>Salvador (Bahia), Brazil-Providenciales, Turks and Caicos</v>
      </c>
      <c r="D173" s="3" t="s">
        <v>163</v>
      </c>
      <c r="E173">
        <v>172</v>
      </c>
      <c r="F173">
        <v>1</v>
      </c>
      <c r="G173">
        <v>1</v>
      </c>
    </row>
    <row r="174" spans="1:7" x14ac:dyDescent="0.25">
      <c r="A174" t="s">
        <v>404</v>
      </c>
      <c r="B174" s="3" t="s">
        <v>459</v>
      </c>
      <c r="C174" s="3" t="str">
        <f t="shared" si="2"/>
        <v>Santos (Sao Paulo), Brazil-Providenciales, Turks and Caicos</v>
      </c>
      <c r="D174" s="3" t="s">
        <v>163</v>
      </c>
      <c r="E174">
        <v>173</v>
      </c>
      <c r="F174">
        <v>1</v>
      </c>
      <c r="G174">
        <v>1</v>
      </c>
    </row>
    <row r="175" spans="1:7" x14ac:dyDescent="0.25">
      <c r="A175" t="s">
        <v>407</v>
      </c>
      <c r="B175" s="3" t="s">
        <v>471</v>
      </c>
      <c r="C175" s="3" t="str">
        <f t="shared" si="2"/>
        <v>Navegantes (Santa Catarina), Brazil-Puerto Cabello, Venezuela</v>
      </c>
      <c r="D175" s="3" t="s">
        <v>206</v>
      </c>
      <c r="E175">
        <v>174</v>
      </c>
      <c r="F175">
        <v>1</v>
      </c>
    </row>
    <row r="176" spans="1:7" x14ac:dyDescent="0.25">
      <c r="A176" t="s">
        <v>406</v>
      </c>
      <c r="B176" s="3" t="s">
        <v>471</v>
      </c>
      <c r="C176" s="3" t="str">
        <f t="shared" si="2"/>
        <v>Salvador (Bahia), Brazil-Puerto Cabello, Venezuela</v>
      </c>
      <c r="D176" s="3" t="s">
        <v>206</v>
      </c>
      <c r="E176">
        <v>175</v>
      </c>
      <c r="F176">
        <v>1</v>
      </c>
    </row>
    <row r="177" spans="1:6" x14ac:dyDescent="0.25">
      <c r="A177" t="s">
        <v>404</v>
      </c>
      <c r="B177" s="3" t="s">
        <v>471</v>
      </c>
      <c r="C177" s="3" t="str">
        <f t="shared" si="2"/>
        <v>Santos (Sao Paulo), Brazil-Puerto Cabello, Venezuela</v>
      </c>
      <c r="D177" s="3" t="s">
        <v>206</v>
      </c>
      <c r="E177">
        <v>176</v>
      </c>
      <c r="F177">
        <v>1</v>
      </c>
    </row>
    <row r="178" spans="1:6" x14ac:dyDescent="0.25">
      <c r="A178" t="s">
        <v>407</v>
      </c>
      <c r="B178" s="3" t="s">
        <v>460</v>
      </c>
      <c r="C178" s="3" t="str">
        <f t="shared" si="2"/>
        <v>Navegantes (Santa Catarina), Brazil-Puerto Cortes, Honduras</v>
      </c>
      <c r="D178" s="3" t="s">
        <v>111</v>
      </c>
      <c r="E178">
        <v>177</v>
      </c>
      <c r="F178">
        <v>1</v>
      </c>
    </row>
    <row r="179" spans="1:6" x14ac:dyDescent="0.25">
      <c r="A179" t="s">
        <v>406</v>
      </c>
      <c r="B179" s="3" t="s">
        <v>460</v>
      </c>
      <c r="C179" s="3" t="str">
        <f t="shared" si="2"/>
        <v>Salvador (Bahia), Brazil-Puerto Cortes, Honduras</v>
      </c>
      <c r="D179" s="3" t="s">
        <v>111</v>
      </c>
      <c r="E179">
        <v>178</v>
      </c>
      <c r="F179">
        <v>1</v>
      </c>
    </row>
    <row r="180" spans="1:6" x14ac:dyDescent="0.25">
      <c r="A180" t="s">
        <v>404</v>
      </c>
      <c r="B180" s="3" t="s">
        <v>460</v>
      </c>
      <c r="C180" s="3" t="str">
        <f t="shared" si="2"/>
        <v>Santos (Sao Paulo), Brazil-Puerto Cortes, Honduras</v>
      </c>
      <c r="D180" s="3" t="s">
        <v>111</v>
      </c>
      <c r="E180">
        <v>179</v>
      </c>
      <c r="F180">
        <v>1</v>
      </c>
    </row>
    <row r="181" spans="1:6" x14ac:dyDescent="0.25">
      <c r="A181" t="s">
        <v>407</v>
      </c>
      <c r="B181" s="3" t="s">
        <v>461</v>
      </c>
      <c r="C181" s="3" t="str">
        <f t="shared" si="2"/>
        <v>Navegantes (Santa Catarina), Brazil-Puerto Limon, Costa Rica</v>
      </c>
      <c r="D181" s="3" t="s">
        <v>80</v>
      </c>
      <c r="E181">
        <v>180</v>
      </c>
      <c r="F181">
        <v>1</v>
      </c>
    </row>
    <row r="182" spans="1:6" x14ac:dyDescent="0.25">
      <c r="A182" t="s">
        <v>406</v>
      </c>
      <c r="B182" s="3" t="s">
        <v>461</v>
      </c>
      <c r="C182" s="3" t="str">
        <f t="shared" si="2"/>
        <v>Salvador (Bahia), Brazil-Puerto Limon, Costa Rica</v>
      </c>
      <c r="D182" s="3" t="s">
        <v>80</v>
      </c>
      <c r="E182">
        <v>181</v>
      </c>
      <c r="F182">
        <v>1</v>
      </c>
    </row>
    <row r="183" spans="1:6" x14ac:dyDescent="0.25">
      <c r="A183" t="s">
        <v>404</v>
      </c>
      <c r="B183" s="3" t="s">
        <v>461</v>
      </c>
      <c r="C183" s="3" t="str">
        <f t="shared" si="2"/>
        <v>Santos (Sao Paulo), Brazil-Puerto Limon, Costa Rica</v>
      </c>
      <c r="D183" s="3" t="s">
        <v>80</v>
      </c>
      <c r="E183">
        <v>182</v>
      </c>
      <c r="F183">
        <v>1</v>
      </c>
    </row>
    <row r="184" spans="1:6" x14ac:dyDescent="0.25">
      <c r="A184" t="s">
        <v>407</v>
      </c>
      <c r="B184" s="3" t="s">
        <v>462</v>
      </c>
      <c r="C184" s="3" t="str">
        <f t="shared" si="2"/>
        <v>Navegantes (Santa Catarina), Brazil-Puerto Moin, Costa Rica</v>
      </c>
      <c r="D184" s="3" t="s">
        <v>82</v>
      </c>
      <c r="E184">
        <v>183</v>
      </c>
      <c r="F184">
        <v>1</v>
      </c>
    </row>
    <row r="185" spans="1:6" x14ac:dyDescent="0.25">
      <c r="A185" t="s">
        <v>406</v>
      </c>
      <c r="B185" s="3" t="s">
        <v>462</v>
      </c>
      <c r="C185" s="3" t="str">
        <f t="shared" si="2"/>
        <v>Salvador (Bahia), Brazil-Puerto Moin, Costa Rica</v>
      </c>
      <c r="D185" s="3" t="s">
        <v>82</v>
      </c>
      <c r="E185">
        <v>184</v>
      </c>
      <c r="F185">
        <v>1</v>
      </c>
    </row>
    <row r="186" spans="1:6" x14ac:dyDescent="0.25">
      <c r="A186" t="s">
        <v>404</v>
      </c>
      <c r="B186" s="3" t="s">
        <v>462</v>
      </c>
      <c r="C186" s="3" t="str">
        <f t="shared" si="2"/>
        <v>Santos (Sao Paulo), Brazil-Puerto Moin, Costa Rica</v>
      </c>
      <c r="D186" s="3" t="s">
        <v>82</v>
      </c>
      <c r="E186">
        <v>185</v>
      </c>
      <c r="F186">
        <v>1</v>
      </c>
    </row>
    <row r="187" spans="1:6" x14ac:dyDescent="0.25">
      <c r="A187" t="s">
        <v>407</v>
      </c>
      <c r="B187" s="3" t="s">
        <v>463</v>
      </c>
      <c r="C187" s="3" t="str">
        <f t="shared" si="2"/>
        <v>Navegantes (Santa Catarina), Brazil-Puerto Quetzal, Guatemala</v>
      </c>
      <c r="D187" s="3" t="s">
        <v>109</v>
      </c>
      <c r="E187">
        <v>186</v>
      </c>
      <c r="F187">
        <v>1</v>
      </c>
    </row>
    <row r="188" spans="1:6" x14ac:dyDescent="0.25">
      <c r="A188" t="s">
        <v>406</v>
      </c>
      <c r="B188" s="3" t="s">
        <v>463</v>
      </c>
      <c r="C188" s="3" t="str">
        <f t="shared" si="2"/>
        <v>Salvador (Bahia), Brazil-Puerto Quetzal, Guatemala</v>
      </c>
      <c r="D188" s="3" t="s">
        <v>109</v>
      </c>
      <c r="E188">
        <v>187</v>
      </c>
      <c r="F188">
        <v>1</v>
      </c>
    </row>
    <row r="189" spans="1:6" x14ac:dyDescent="0.25">
      <c r="A189" t="s">
        <v>404</v>
      </c>
      <c r="B189" s="3" t="s">
        <v>463</v>
      </c>
      <c r="C189" s="3" t="str">
        <f t="shared" si="2"/>
        <v>Santos (Sao Paulo), Brazil-Puerto Quetzal, Guatemala</v>
      </c>
      <c r="D189" s="3" t="s">
        <v>109</v>
      </c>
      <c r="E189">
        <v>188</v>
      </c>
      <c r="F189">
        <v>1</v>
      </c>
    </row>
    <row r="190" spans="1:6" x14ac:dyDescent="0.25">
      <c r="A190" t="s">
        <v>465</v>
      </c>
      <c r="B190" s="3" t="s">
        <v>464</v>
      </c>
      <c r="C190" s="3" t="str">
        <f t="shared" si="2"/>
        <v>Paranagua (Parana), Brazil-Rijeka, Croatia</v>
      </c>
      <c r="D190" s="3" t="s">
        <v>113</v>
      </c>
      <c r="E190">
        <v>189</v>
      </c>
      <c r="F190">
        <v>1</v>
      </c>
    </row>
    <row r="191" spans="1:6" x14ac:dyDescent="0.25">
      <c r="A191" t="s">
        <v>406</v>
      </c>
      <c r="B191" s="3" t="s">
        <v>464</v>
      </c>
      <c r="C191" s="3" t="str">
        <f t="shared" si="2"/>
        <v>Salvador (Bahia), Brazil-Rijeka, Croatia</v>
      </c>
      <c r="D191" s="3" t="s">
        <v>113</v>
      </c>
      <c r="E191">
        <v>190</v>
      </c>
      <c r="F191">
        <v>1</v>
      </c>
    </row>
    <row r="192" spans="1:6" x14ac:dyDescent="0.25">
      <c r="A192" t="s">
        <v>404</v>
      </c>
      <c r="B192" s="3" t="s">
        <v>464</v>
      </c>
      <c r="C192" s="3" t="str">
        <f t="shared" si="2"/>
        <v>Santos (Sao Paulo), Brazil-Rijeka, Croatia</v>
      </c>
      <c r="D192" s="3" t="s">
        <v>113</v>
      </c>
      <c r="E192">
        <v>191</v>
      </c>
      <c r="F192">
        <v>1</v>
      </c>
    </row>
    <row r="193" spans="1:7" x14ac:dyDescent="0.25">
      <c r="A193" t="s">
        <v>407</v>
      </c>
      <c r="B193" s="3" t="s">
        <v>466</v>
      </c>
      <c r="C193" s="3" t="str">
        <f t="shared" si="2"/>
        <v>Navegantes (Santa Catarina), Brazil-Road Town, Virgin Islands (Br.)</v>
      </c>
      <c r="D193" s="3" t="s">
        <v>208</v>
      </c>
      <c r="E193">
        <v>192</v>
      </c>
      <c r="F193">
        <v>1</v>
      </c>
    </row>
    <row r="194" spans="1:7" x14ac:dyDescent="0.25">
      <c r="A194" t="s">
        <v>406</v>
      </c>
      <c r="B194" s="3" t="s">
        <v>466</v>
      </c>
      <c r="C194" s="3" t="str">
        <f t="shared" ref="C194:C257" si="3">A194&amp;"-"&amp;B194</f>
        <v>Salvador (Bahia), Brazil-Road Town, Virgin Islands (Br.)</v>
      </c>
      <c r="D194" s="3" t="s">
        <v>208</v>
      </c>
      <c r="E194">
        <v>193</v>
      </c>
      <c r="F194">
        <v>1</v>
      </c>
    </row>
    <row r="195" spans="1:7" x14ac:dyDescent="0.25">
      <c r="A195" t="s">
        <v>404</v>
      </c>
      <c r="B195" s="3" t="s">
        <v>466</v>
      </c>
      <c r="C195" s="3" t="str">
        <f t="shared" si="3"/>
        <v>Santos (Sao Paulo), Brazil-Road Town, Virgin Islands (Br.)</v>
      </c>
      <c r="D195" s="3" t="s">
        <v>208</v>
      </c>
      <c r="E195">
        <v>194</v>
      </c>
      <c r="F195">
        <v>1</v>
      </c>
    </row>
    <row r="196" spans="1:7" x14ac:dyDescent="0.25">
      <c r="A196" t="s">
        <v>407</v>
      </c>
      <c r="B196" s="3" t="s">
        <v>467</v>
      </c>
      <c r="C196" s="3" t="str">
        <f t="shared" si="3"/>
        <v>Navegantes (Santa Catarina), Brazil-Roseau, Dominica</v>
      </c>
      <c r="D196" s="3" t="s">
        <v>86</v>
      </c>
      <c r="E196">
        <v>195</v>
      </c>
      <c r="F196">
        <v>1</v>
      </c>
      <c r="G196">
        <v>1</v>
      </c>
    </row>
    <row r="197" spans="1:7" x14ac:dyDescent="0.25">
      <c r="A197" t="s">
        <v>406</v>
      </c>
      <c r="B197" s="3" t="s">
        <v>467</v>
      </c>
      <c r="C197" s="3" t="str">
        <f t="shared" si="3"/>
        <v>Salvador (Bahia), Brazil-Roseau, Dominica</v>
      </c>
      <c r="D197" s="3" t="s">
        <v>86</v>
      </c>
      <c r="E197">
        <v>196</v>
      </c>
      <c r="F197">
        <v>1</v>
      </c>
      <c r="G197">
        <v>1</v>
      </c>
    </row>
    <row r="198" spans="1:7" x14ac:dyDescent="0.25">
      <c r="A198" t="s">
        <v>404</v>
      </c>
      <c r="B198" s="3" t="s">
        <v>467</v>
      </c>
      <c r="C198" s="3" t="str">
        <f t="shared" si="3"/>
        <v>Santos (Sao Paulo), Brazil-Roseau, Dominica</v>
      </c>
      <c r="D198" s="3" t="s">
        <v>86</v>
      </c>
      <c r="E198">
        <v>197</v>
      </c>
      <c r="F198">
        <v>1</v>
      </c>
      <c r="G198">
        <v>1</v>
      </c>
    </row>
    <row r="199" spans="1:7" x14ac:dyDescent="0.25">
      <c r="A199" t="s">
        <v>407</v>
      </c>
      <c r="B199" s="3" t="s">
        <v>468</v>
      </c>
      <c r="C199" s="3" t="str">
        <f t="shared" si="3"/>
        <v>Navegantes (Santa Catarina), Brazil-Saint George, Grenada</v>
      </c>
      <c r="D199" s="3" t="s">
        <v>104</v>
      </c>
      <c r="E199">
        <v>198</v>
      </c>
      <c r="F199">
        <v>1</v>
      </c>
    </row>
    <row r="200" spans="1:7" x14ac:dyDescent="0.25">
      <c r="A200" t="s">
        <v>406</v>
      </c>
      <c r="B200" s="3" t="s">
        <v>468</v>
      </c>
      <c r="C200" s="3" t="str">
        <f t="shared" si="3"/>
        <v>Salvador (Bahia), Brazil-Saint George, Grenada</v>
      </c>
      <c r="D200" s="3" t="s">
        <v>104</v>
      </c>
      <c r="E200">
        <v>199</v>
      </c>
      <c r="F200">
        <v>1</v>
      </c>
    </row>
    <row r="201" spans="1:7" x14ac:dyDescent="0.25">
      <c r="A201" t="s">
        <v>404</v>
      </c>
      <c r="B201" s="3" t="s">
        <v>468</v>
      </c>
      <c r="C201" s="3" t="str">
        <f t="shared" si="3"/>
        <v>Santos (Sao Paulo), Brazil-Saint George, Grenada</v>
      </c>
      <c r="D201" s="3" t="s">
        <v>104</v>
      </c>
      <c r="E201">
        <v>200</v>
      </c>
      <c r="F201">
        <v>1</v>
      </c>
    </row>
    <row r="202" spans="1:7" x14ac:dyDescent="0.25">
      <c r="A202" t="s">
        <v>407</v>
      </c>
      <c r="B202" s="3" t="s">
        <v>469</v>
      </c>
      <c r="C202" s="3" t="str">
        <f t="shared" si="3"/>
        <v>Navegantes (Santa Catarina), Brazil-San Antonio, Chile</v>
      </c>
      <c r="D202" s="3" t="s">
        <v>72</v>
      </c>
      <c r="E202">
        <v>201</v>
      </c>
      <c r="F202">
        <v>1</v>
      </c>
    </row>
    <row r="203" spans="1:7" x14ac:dyDescent="0.25">
      <c r="A203" t="s">
        <v>406</v>
      </c>
      <c r="B203" s="3" t="s">
        <v>469</v>
      </c>
      <c r="C203" s="3" t="str">
        <f t="shared" si="3"/>
        <v>Salvador (Bahia), Brazil-San Antonio, Chile</v>
      </c>
      <c r="D203" s="3" t="s">
        <v>72</v>
      </c>
      <c r="E203">
        <v>202</v>
      </c>
      <c r="F203">
        <v>1</v>
      </c>
    </row>
    <row r="204" spans="1:7" x14ac:dyDescent="0.25">
      <c r="A204" t="s">
        <v>404</v>
      </c>
      <c r="B204" s="3" t="s">
        <v>469</v>
      </c>
      <c r="C204" s="3" t="str">
        <f t="shared" si="3"/>
        <v>Santos (Sao Paulo), Brazil-San Antonio, Chile</v>
      </c>
      <c r="D204" s="3" t="s">
        <v>72</v>
      </c>
      <c r="E204">
        <v>203</v>
      </c>
      <c r="F204">
        <v>1</v>
      </c>
    </row>
    <row r="205" spans="1:7" x14ac:dyDescent="0.25">
      <c r="A205" t="s">
        <v>407</v>
      </c>
      <c r="B205" s="3" t="s">
        <v>470</v>
      </c>
      <c r="C205" s="3" t="str">
        <f t="shared" si="3"/>
        <v>Navegantes (Santa Catarina), Brazil-San Juan, Puerto Rico</v>
      </c>
      <c r="D205" s="3" t="s">
        <v>149</v>
      </c>
      <c r="E205">
        <v>204</v>
      </c>
      <c r="F205">
        <v>1</v>
      </c>
    </row>
    <row r="206" spans="1:7" x14ac:dyDescent="0.25">
      <c r="A206" t="s">
        <v>406</v>
      </c>
      <c r="B206" s="3" t="s">
        <v>470</v>
      </c>
      <c r="C206" s="3" t="str">
        <f t="shared" si="3"/>
        <v>Salvador (Bahia), Brazil-San Juan, Puerto Rico</v>
      </c>
      <c r="D206" s="3" t="s">
        <v>149</v>
      </c>
      <c r="E206">
        <v>205</v>
      </c>
      <c r="F206">
        <v>1</v>
      </c>
    </row>
    <row r="207" spans="1:7" x14ac:dyDescent="0.25">
      <c r="A207" t="s">
        <v>404</v>
      </c>
      <c r="B207" s="3" t="s">
        <v>470</v>
      </c>
      <c r="C207" s="3" t="str">
        <f t="shared" si="3"/>
        <v>Santos (Sao Paulo), Brazil-San Juan, Puerto Rico</v>
      </c>
      <c r="D207" s="3" t="s">
        <v>149</v>
      </c>
      <c r="E207">
        <v>206</v>
      </c>
      <c r="F207">
        <v>1</v>
      </c>
    </row>
    <row r="208" spans="1:7" x14ac:dyDescent="0.25">
      <c r="A208" t="s">
        <v>406</v>
      </c>
      <c r="B208" s="3" t="s">
        <v>472</v>
      </c>
      <c r="C208" s="3" t="str">
        <f t="shared" si="3"/>
        <v>Salvador (Bahia), Brazil-Santa Cruz De La Sierra, Bolivia</v>
      </c>
      <c r="D208" s="3" t="s">
        <v>20</v>
      </c>
      <c r="E208">
        <v>207</v>
      </c>
      <c r="F208">
        <v>1</v>
      </c>
    </row>
    <row r="209" spans="1:7" x14ac:dyDescent="0.25">
      <c r="A209" t="s">
        <v>404</v>
      </c>
      <c r="B209" s="3" t="s">
        <v>472</v>
      </c>
      <c r="C209" s="3" t="str">
        <f t="shared" si="3"/>
        <v>Santos (Sao Paulo), Brazil-Santa Cruz De La Sierra, Bolivia</v>
      </c>
      <c r="D209" s="3" t="s">
        <v>20</v>
      </c>
      <c r="E209">
        <v>208</v>
      </c>
      <c r="F209">
        <v>1</v>
      </c>
    </row>
    <row r="210" spans="1:7" x14ac:dyDescent="0.25">
      <c r="A210" s="5" t="s">
        <v>407</v>
      </c>
      <c r="B210" s="5" t="s">
        <v>484</v>
      </c>
      <c r="C210" s="3" t="str">
        <f t="shared" si="3"/>
        <v>Navegantes (Santa Catarina), Brazil-St Johns, Antigua and Barbuda</v>
      </c>
      <c r="D210" s="3" t="s">
        <v>13</v>
      </c>
      <c r="E210">
        <v>209</v>
      </c>
      <c r="F210">
        <v>1</v>
      </c>
      <c r="G210">
        <v>1</v>
      </c>
    </row>
    <row r="211" spans="1:7" x14ac:dyDescent="0.25">
      <c r="A211" s="6" t="s">
        <v>404</v>
      </c>
      <c r="B211" s="6" t="s">
        <v>484</v>
      </c>
      <c r="C211" s="3" t="str">
        <f t="shared" si="3"/>
        <v>Santos (Sao Paulo), Brazil-St Johns, Antigua and Barbuda</v>
      </c>
      <c r="D211" s="3" t="s">
        <v>13</v>
      </c>
      <c r="E211">
        <v>210</v>
      </c>
      <c r="F211">
        <v>1</v>
      </c>
      <c r="G211">
        <v>1</v>
      </c>
    </row>
    <row r="212" spans="1:7" x14ac:dyDescent="0.25">
      <c r="A212" t="s">
        <v>407</v>
      </c>
      <c r="B212" s="3" t="s">
        <v>473</v>
      </c>
      <c r="C212" s="3" t="str">
        <f t="shared" si="3"/>
        <v>Navegantes (Santa Catarina), Brazil-Tema, Ghana</v>
      </c>
      <c r="D212" s="3" t="s">
        <v>33</v>
      </c>
      <c r="E212">
        <v>211</v>
      </c>
      <c r="F212">
        <v>1</v>
      </c>
    </row>
    <row r="213" spans="1:7" x14ac:dyDescent="0.25">
      <c r="A213" t="s">
        <v>406</v>
      </c>
      <c r="B213" s="3" t="s">
        <v>473</v>
      </c>
      <c r="C213" s="3" t="str">
        <f t="shared" si="3"/>
        <v>Salvador (Bahia), Brazil-Tema, Ghana</v>
      </c>
      <c r="D213" s="3" t="s">
        <v>33</v>
      </c>
      <c r="E213">
        <v>212</v>
      </c>
      <c r="F213">
        <v>1</v>
      </c>
    </row>
    <row r="214" spans="1:7" x14ac:dyDescent="0.25">
      <c r="A214" t="s">
        <v>404</v>
      </c>
      <c r="B214" s="3" t="s">
        <v>473</v>
      </c>
      <c r="C214" s="3" t="str">
        <f t="shared" si="3"/>
        <v>Santos (Sao Paulo), Brazil-Tema, Ghana</v>
      </c>
      <c r="D214" s="3" t="s">
        <v>33</v>
      </c>
      <c r="E214">
        <v>213</v>
      </c>
      <c r="F214">
        <v>1</v>
      </c>
    </row>
    <row r="215" spans="1:7" x14ac:dyDescent="0.25">
      <c r="A215" t="s">
        <v>456</v>
      </c>
      <c r="B215" s="6" t="s">
        <v>485</v>
      </c>
      <c r="C215" s="3" t="str">
        <f t="shared" si="3"/>
        <v>Itapoa (Santa Catarina), Brazil-Veracruz (Veracruz Llave), Mexico</v>
      </c>
      <c r="D215" s="3" t="s">
        <v>35</v>
      </c>
      <c r="E215">
        <v>214</v>
      </c>
      <c r="F215">
        <v>1</v>
      </c>
    </row>
    <row r="216" spans="1:7" x14ac:dyDescent="0.25">
      <c r="A216" t="s">
        <v>406</v>
      </c>
      <c r="B216" s="5" t="s">
        <v>485</v>
      </c>
      <c r="C216" s="3" t="str">
        <f t="shared" si="3"/>
        <v>Salvador (Bahia), Brazil-Veracruz (Veracruz Llave), Mexico</v>
      </c>
      <c r="D216" s="3" t="s">
        <v>35</v>
      </c>
      <c r="E216">
        <v>215</v>
      </c>
      <c r="F216">
        <v>1</v>
      </c>
    </row>
    <row r="217" spans="1:7" x14ac:dyDescent="0.25">
      <c r="A217" t="s">
        <v>404</v>
      </c>
      <c r="B217" s="6" t="s">
        <v>485</v>
      </c>
      <c r="C217" s="3" t="str">
        <f t="shared" si="3"/>
        <v>Santos (Sao Paulo), Brazil-Veracruz (Veracruz Llave), Mexico</v>
      </c>
      <c r="D217" s="3" t="s">
        <v>35</v>
      </c>
      <c r="E217">
        <v>216</v>
      </c>
      <c r="F217">
        <v>1</v>
      </c>
    </row>
    <row r="218" spans="1:7" x14ac:dyDescent="0.25">
      <c r="A218" t="s">
        <v>407</v>
      </c>
      <c r="B218" s="3" t="s">
        <v>474</v>
      </c>
      <c r="C218" s="3" t="str">
        <f t="shared" si="3"/>
        <v>Navegantes (Santa Catarina), Brazil-Victoria Point, Myanmar</v>
      </c>
      <c r="D218" s="3" t="s">
        <v>130</v>
      </c>
      <c r="E218">
        <v>217</v>
      </c>
      <c r="F218">
        <v>1</v>
      </c>
    </row>
    <row r="219" spans="1:7" x14ac:dyDescent="0.25">
      <c r="A219" t="s">
        <v>406</v>
      </c>
      <c r="B219" s="3" t="s">
        <v>474</v>
      </c>
      <c r="C219" s="3" t="str">
        <f t="shared" si="3"/>
        <v>Salvador (Bahia), Brazil-Victoria Point, Myanmar</v>
      </c>
      <c r="D219" s="3" t="s">
        <v>130</v>
      </c>
      <c r="E219">
        <v>218</v>
      </c>
      <c r="F219">
        <v>1</v>
      </c>
    </row>
    <row r="220" spans="1:7" x14ac:dyDescent="0.25">
      <c r="A220" t="s">
        <v>404</v>
      </c>
      <c r="B220" s="3" t="s">
        <v>474</v>
      </c>
      <c r="C220" s="3" t="str">
        <f t="shared" si="3"/>
        <v>Santos (Sao Paulo), Brazil-Victoria Point, Myanmar</v>
      </c>
      <c r="D220" s="3" t="s">
        <v>130</v>
      </c>
      <c r="E220">
        <v>219</v>
      </c>
      <c r="F220">
        <v>1</v>
      </c>
    </row>
    <row r="221" spans="1:7" x14ac:dyDescent="0.25">
      <c r="A221" t="s">
        <v>407</v>
      </c>
      <c r="B221" s="3" t="s">
        <v>475</v>
      </c>
      <c r="C221" s="3" t="str">
        <f t="shared" si="3"/>
        <v>Navegantes (Santa Catarina), Brazil-Willemstad, Curacao</v>
      </c>
      <c r="D221" s="3" t="s">
        <v>44</v>
      </c>
      <c r="E221">
        <v>220</v>
      </c>
      <c r="F221">
        <v>1</v>
      </c>
    </row>
    <row r="222" spans="1:7" x14ac:dyDescent="0.25">
      <c r="A222" t="s">
        <v>406</v>
      </c>
      <c r="B222" s="3" t="s">
        <v>475</v>
      </c>
      <c r="C222" s="3" t="str">
        <f t="shared" si="3"/>
        <v>Salvador (Bahia), Brazil-Willemstad, Curacao</v>
      </c>
      <c r="D222" s="3" t="s">
        <v>44</v>
      </c>
      <c r="E222">
        <v>223</v>
      </c>
      <c r="F222">
        <v>1</v>
      </c>
    </row>
    <row r="223" spans="1:7" x14ac:dyDescent="0.25">
      <c r="A223" t="s">
        <v>404</v>
      </c>
      <c r="B223" s="3" t="s">
        <v>475</v>
      </c>
      <c r="C223" s="3" t="str">
        <f t="shared" si="3"/>
        <v>Santos (Sao Paulo), Brazil-Willemstad, Curacao</v>
      </c>
      <c r="D223" s="3" t="s">
        <v>44</v>
      </c>
      <c r="E223">
        <v>224</v>
      </c>
      <c r="F223">
        <v>1</v>
      </c>
    </row>
  </sheetData>
  <autoFilter ref="A1:G223" xr:uid="{ADDE1B90-6E61-4BB3-AFF3-1BA9EFF97C8A}">
    <sortState xmlns:xlrd2="http://schemas.microsoft.com/office/spreadsheetml/2017/richdata2" ref="A2:G223">
      <sortCondition ref="E1:E223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5904-FDB5-49D4-996E-8F760F9EF109}">
  <dimension ref="A1:K275"/>
  <sheetViews>
    <sheetView topLeftCell="G1" workbookViewId="0">
      <selection activeCell="K1" sqref="K1"/>
    </sheetView>
  </sheetViews>
  <sheetFormatPr defaultRowHeight="15" x14ac:dyDescent="0.25"/>
  <cols>
    <col min="1" max="1" width="14.5703125" bestFit="1" customWidth="1"/>
    <col min="2" max="2" width="8.42578125" bestFit="1" customWidth="1"/>
    <col min="3" max="3" width="13.5703125" bestFit="1" customWidth="1"/>
    <col min="4" max="4" width="17.28515625" bestFit="1" customWidth="1"/>
    <col min="5" max="5" width="15.5703125" bestFit="1" customWidth="1"/>
    <col min="7" max="7" width="177.85546875" customWidth="1"/>
    <col min="8" max="8" width="15.85546875" bestFit="1" customWidth="1"/>
    <col min="9" max="9" width="19.85546875" bestFit="1" customWidth="1"/>
    <col min="10" max="10" width="20.28515625" bestFit="1" customWidth="1"/>
    <col min="11" max="11" width="2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s="1">
        <v>46020.417977974539</v>
      </c>
      <c r="E2" s="1"/>
      <c r="F2" t="s">
        <v>14</v>
      </c>
      <c r="G2" t="s">
        <v>15</v>
      </c>
    </row>
    <row r="3" spans="1:11" x14ac:dyDescent="0.25">
      <c r="A3" t="s">
        <v>16</v>
      </c>
      <c r="B3" t="s">
        <v>12</v>
      </c>
      <c r="C3" t="s">
        <v>17</v>
      </c>
      <c r="D3" s="1">
        <v>45979.660087349534</v>
      </c>
      <c r="E3" s="1"/>
      <c r="F3" t="s">
        <v>14</v>
      </c>
      <c r="G3" t="s">
        <v>18</v>
      </c>
    </row>
    <row r="4" spans="1:11" x14ac:dyDescent="0.25">
      <c r="A4" t="s">
        <v>19</v>
      </c>
      <c r="B4" t="s">
        <v>12</v>
      </c>
      <c r="C4" t="s">
        <v>20</v>
      </c>
      <c r="D4" s="1">
        <v>45979.660089641206</v>
      </c>
      <c r="E4" s="1"/>
      <c r="F4" t="s">
        <v>14</v>
      </c>
      <c r="G4" t="s">
        <v>18</v>
      </c>
    </row>
    <row r="5" spans="1:11" x14ac:dyDescent="0.25">
      <c r="A5" t="s">
        <v>21</v>
      </c>
      <c r="B5" t="s">
        <v>12</v>
      </c>
      <c r="C5" t="s">
        <v>22</v>
      </c>
      <c r="D5" s="1">
        <v>46020.411136736111</v>
      </c>
      <c r="E5" s="1"/>
      <c r="F5" t="s">
        <v>14</v>
      </c>
      <c r="G5" t="s">
        <v>15</v>
      </c>
    </row>
    <row r="6" spans="1:11" x14ac:dyDescent="0.25">
      <c r="A6" t="s">
        <v>23</v>
      </c>
      <c r="B6" t="s">
        <v>24</v>
      </c>
      <c r="C6" t="s">
        <v>13</v>
      </c>
      <c r="D6" s="1">
        <v>46020.418170115743</v>
      </c>
      <c r="E6" s="1"/>
      <c r="F6" t="s">
        <v>14</v>
      </c>
      <c r="G6" t="s">
        <v>25</v>
      </c>
    </row>
    <row r="7" spans="1:11" x14ac:dyDescent="0.25">
      <c r="A7" t="s">
        <v>26</v>
      </c>
      <c r="B7" t="s">
        <v>24</v>
      </c>
      <c r="C7" t="s">
        <v>17</v>
      </c>
      <c r="D7" s="1">
        <v>45979.660087407407</v>
      </c>
      <c r="E7" s="1"/>
      <c r="F7" t="s">
        <v>14</v>
      </c>
      <c r="G7" t="s">
        <v>18</v>
      </c>
    </row>
    <row r="8" spans="1:11" x14ac:dyDescent="0.25">
      <c r="A8" t="s">
        <v>27</v>
      </c>
      <c r="B8" t="s">
        <v>24</v>
      </c>
      <c r="C8" t="s">
        <v>20</v>
      </c>
      <c r="D8" s="1">
        <v>45979.660089687502</v>
      </c>
      <c r="E8" s="1"/>
      <c r="F8" t="s">
        <v>14</v>
      </c>
      <c r="G8" t="s">
        <v>18</v>
      </c>
    </row>
    <row r="9" spans="1:11" x14ac:dyDescent="0.25">
      <c r="A9" t="s">
        <v>28</v>
      </c>
      <c r="B9" t="s">
        <v>24</v>
      </c>
      <c r="C9" t="s">
        <v>22</v>
      </c>
      <c r="D9" s="1">
        <v>46020.41132885417</v>
      </c>
      <c r="E9" s="1"/>
      <c r="F9" t="s">
        <v>14</v>
      </c>
      <c r="G9" t="s">
        <v>25</v>
      </c>
    </row>
    <row r="10" spans="1:11" x14ac:dyDescent="0.25">
      <c r="A10" t="s">
        <v>29</v>
      </c>
      <c r="B10" t="s">
        <v>30</v>
      </c>
      <c r="C10" t="s">
        <v>31</v>
      </c>
      <c r="D10" s="1">
        <v>45979.660088171295</v>
      </c>
      <c r="E10" s="1"/>
      <c r="F10" t="s">
        <v>14</v>
      </c>
      <c r="G10" t="s">
        <v>18</v>
      </c>
    </row>
    <row r="11" spans="1:11" x14ac:dyDescent="0.25">
      <c r="A11" t="s">
        <v>32</v>
      </c>
      <c r="B11" t="s">
        <v>30</v>
      </c>
      <c r="C11" t="s">
        <v>33</v>
      </c>
      <c r="D11" s="1">
        <v>45979.660089814817</v>
      </c>
      <c r="E11" s="1"/>
      <c r="F11" t="s">
        <v>14</v>
      </c>
      <c r="G11" t="s">
        <v>18</v>
      </c>
    </row>
    <row r="12" spans="1:11" x14ac:dyDescent="0.25">
      <c r="A12" t="s">
        <v>34</v>
      </c>
      <c r="B12" t="s">
        <v>30</v>
      </c>
      <c r="C12" t="s">
        <v>35</v>
      </c>
      <c r="D12" s="1">
        <v>46020.419112696756</v>
      </c>
      <c r="E12" s="1"/>
      <c r="F12" t="s">
        <v>14</v>
      </c>
      <c r="G12" t="s">
        <v>36</v>
      </c>
    </row>
    <row r="13" spans="1:11" x14ac:dyDescent="0.25">
      <c r="A13" t="s">
        <v>37</v>
      </c>
      <c r="B13" t="s">
        <v>30</v>
      </c>
      <c r="C13" t="s">
        <v>38</v>
      </c>
      <c r="D13" s="1">
        <v>46020.414541851853</v>
      </c>
      <c r="E13" s="1"/>
      <c r="F13" t="s">
        <v>39</v>
      </c>
      <c r="G13" t="s">
        <v>40</v>
      </c>
    </row>
    <row r="14" spans="1:11" x14ac:dyDescent="0.25">
      <c r="A14" t="s">
        <v>41</v>
      </c>
      <c r="B14" t="s">
        <v>42</v>
      </c>
      <c r="C14" t="s">
        <v>13</v>
      </c>
      <c r="D14" s="1">
        <v>46020.417785891201</v>
      </c>
      <c r="E14" s="1"/>
      <c r="F14" t="s">
        <v>39</v>
      </c>
      <c r="G14" t="s">
        <v>40</v>
      </c>
    </row>
    <row r="15" spans="1:11" x14ac:dyDescent="0.25">
      <c r="A15" t="s">
        <v>43</v>
      </c>
      <c r="B15" t="s">
        <v>42</v>
      </c>
      <c r="C15" t="s">
        <v>44</v>
      </c>
      <c r="D15" s="1">
        <v>46020.461239456017</v>
      </c>
      <c r="E15" s="1"/>
      <c r="F15" t="s">
        <v>14</v>
      </c>
      <c r="G15" t="s">
        <v>45</v>
      </c>
    </row>
    <row r="16" spans="1:11" x14ac:dyDescent="0.25">
      <c r="A16" t="s">
        <v>46</v>
      </c>
      <c r="B16" t="s">
        <v>42</v>
      </c>
      <c r="C16" t="s">
        <v>47</v>
      </c>
      <c r="D16" s="1">
        <v>46020.444643414354</v>
      </c>
      <c r="E16" s="1"/>
      <c r="F16" t="s">
        <v>39</v>
      </c>
      <c r="G16" t="s">
        <v>40</v>
      </c>
    </row>
    <row r="17" spans="1:11" x14ac:dyDescent="0.25">
      <c r="A17" t="s">
        <v>48</v>
      </c>
      <c r="B17" t="s">
        <v>42</v>
      </c>
      <c r="C17" t="s">
        <v>49</v>
      </c>
      <c r="D17" s="1">
        <v>46020.430892627315</v>
      </c>
      <c r="E17" s="1"/>
      <c r="F17" t="s">
        <v>39</v>
      </c>
      <c r="G17" t="s">
        <v>40</v>
      </c>
    </row>
    <row r="18" spans="1:11" x14ac:dyDescent="0.25">
      <c r="A18" t="s">
        <v>50</v>
      </c>
      <c r="B18" t="s">
        <v>42</v>
      </c>
      <c r="C18" t="s">
        <v>51</v>
      </c>
      <c r="D18" s="1">
        <v>46020.440624594907</v>
      </c>
      <c r="E18" s="1"/>
      <c r="F18" t="s">
        <v>39</v>
      </c>
      <c r="G18" t="s">
        <v>40</v>
      </c>
    </row>
    <row r="19" spans="1:11" x14ac:dyDescent="0.25">
      <c r="A19" t="s">
        <v>52</v>
      </c>
      <c r="B19" t="s">
        <v>42</v>
      </c>
      <c r="C19" t="s">
        <v>53</v>
      </c>
      <c r="D19" s="1">
        <v>45979.660087245371</v>
      </c>
      <c r="E19" s="1"/>
      <c r="F19" t="s">
        <v>14</v>
      </c>
      <c r="G19" t="s">
        <v>18</v>
      </c>
    </row>
    <row r="20" spans="1:11" x14ac:dyDescent="0.25">
      <c r="A20" t="s">
        <v>54</v>
      </c>
      <c r="B20" t="s">
        <v>42</v>
      </c>
      <c r="C20" t="s">
        <v>55</v>
      </c>
      <c r="D20" s="1">
        <v>46020.447590567128</v>
      </c>
      <c r="E20" s="1"/>
      <c r="F20" t="s">
        <v>39</v>
      </c>
      <c r="G20" t="s">
        <v>40</v>
      </c>
    </row>
    <row r="21" spans="1:11" x14ac:dyDescent="0.25">
      <c r="A21" t="s">
        <v>56</v>
      </c>
      <c r="B21" t="s">
        <v>42</v>
      </c>
      <c r="C21" t="s">
        <v>57</v>
      </c>
      <c r="D21" s="1">
        <v>46020.408008854167</v>
      </c>
      <c r="E21" s="1"/>
      <c r="F21" t="s">
        <v>39</v>
      </c>
      <c r="G21" t="s">
        <v>40</v>
      </c>
    </row>
    <row r="22" spans="1:11" x14ac:dyDescent="0.25">
      <c r="A22" t="s">
        <v>58</v>
      </c>
      <c r="B22" t="s">
        <v>42</v>
      </c>
      <c r="C22" t="s">
        <v>59</v>
      </c>
      <c r="D22" s="1">
        <v>46020.40738798611</v>
      </c>
      <c r="E22" s="1"/>
      <c r="F22" t="s">
        <v>39</v>
      </c>
      <c r="G22" t="s">
        <v>40</v>
      </c>
    </row>
    <row r="23" spans="1:11" x14ac:dyDescent="0.25">
      <c r="A23" t="s">
        <v>60</v>
      </c>
      <c r="B23" t="s">
        <v>42</v>
      </c>
      <c r="C23" t="s">
        <v>61</v>
      </c>
      <c r="D23" s="1">
        <v>46020.409653634262</v>
      </c>
      <c r="E23" s="1"/>
      <c r="F23" t="s">
        <v>39</v>
      </c>
      <c r="G23" t="s">
        <v>40</v>
      </c>
    </row>
    <row r="24" spans="1:11" x14ac:dyDescent="0.25">
      <c r="A24" t="s">
        <v>62</v>
      </c>
      <c r="B24" t="s">
        <v>42</v>
      </c>
      <c r="C24" t="s">
        <v>63</v>
      </c>
      <c r="D24" s="1">
        <v>46020.413917708334</v>
      </c>
      <c r="E24" s="1"/>
      <c r="F24" t="s">
        <v>39</v>
      </c>
      <c r="G24" t="s">
        <v>40</v>
      </c>
    </row>
    <row r="25" spans="1:11" x14ac:dyDescent="0.25">
      <c r="A25" t="s">
        <v>64</v>
      </c>
      <c r="B25" t="s">
        <v>42</v>
      </c>
      <c r="C25" t="s">
        <v>65</v>
      </c>
      <c r="D25" s="1">
        <v>45979.660089756944</v>
      </c>
      <c r="E25" s="1"/>
      <c r="F25" t="s">
        <v>14</v>
      </c>
      <c r="G25" t="s">
        <v>18</v>
      </c>
    </row>
    <row r="26" spans="1:11" x14ac:dyDescent="0.25">
      <c r="A26" t="s">
        <v>66</v>
      </c>
      <c r="B26" t="s">
        <v>42</v>
      </c>
      <c r="C26" t="s">
        <v>31</v>
      </c>
      <c r="D26" s="1">
        <v>46020.414229155096</v>
      </c>
      <c r="E26" s="1"/>
      <c r="F26" t="s">
        <v>39</v>
      </c>
      <c r="G26" t="s">
        <v>40</v>
      </c>
    </row>
    <row r="27" spans="1:11" x14ac:dyDescent="0.25">
      <c r="A27" t="s">
        <v>67</v>
      </c>
      <c r="B27" t="s">
        <v>42</v>
      </c>
      <c r="C27" t="s">
        <v>68</v>
      </c>
      <c r="D27" s="1">
        <v>46020.395035324073</v>
      </c>
      <c r="E27" s="1">
        <v>46020.395035324073</v>
      </c>
      <c r="F27" t="s">
        <v>69</v>
      </c>
      <c r="G27" t="s">
        <v>70</v>
      </c>
      <c r="H27">
        <v>21700</v>
      </c>
      <c r="I27">
        <v>2780</v>
      </c>
      <c r="J27">
        <v>2440</v>
      </c>
      <c r="K27">
        <v>950</v>
      </c>
    </row>
    <row r="28" spans="1:11" x14ac:dyDescent="0.25">
      <c r="A28" t="s">
        <v>71</v>
      </c>
      <c r="B28" t="s">
        <v>42</v>
      </c>
      <c r="C28" t="s">
        <v>72</v>
      </c>
      <c r="D28" s="1">
        <v>46020.417029895834</v>
      </c>
      <c r="E28" s="1"/>
      <c r="F28" t="s">
        <v>39</v>
      </c>
      <c r="G28" t="s">
        <v>40</v>
      </c>
    </row>
    <row r="29" spans="1:11" x14ac:dyDescent="0.25">
      <c r="A29" t="s">
        <v>73</v>
      </c>
      <c r="B29" t="s">
        <v>42</v>
      </c>
      <c r="C29" t="s">
        <v>74</v>
      </c>
      <c r="D29" s="1">
        <v>46020.439115162037</v>
      </c>
      <c r="E29" s="1"/>
      <c r="F29" t="s">
        <v>39</v>
      </c>
      <c r="G29" t="s">
        <v>40</v>
      </c>
    </row>
    <row r="30" spans="1:11" x14ac:dyDescent="0.25">
      <c r="A30" t="s">
        <v>75</v>
      </c>
      <c r="B30" t="s">
        <v>42</v>
      </c>
      <c r="C30" t="s">
        <v>76</v>
      </c>
      <c r="D30" s="1">
        <v>46020.433704537034</v>
      </c>
      <c r="E30" s="1"/>
      <c r="F30" t="s">
        <v>39</v>
      </c>
      <c r="G30" t="s">
        <v>40</v>
      </c>
    </row>
    <row r="31" spans="1:11" x14ac:dyDescent="0.25">
      <c r="A31" t="s">
        <v>77</v>
      </c>
      <c r="B31" t="s">
        <v>42</v>
      </c>
      <c r="C31" t="s">
        <v>78</v>
      </c>
      <c r="D31" s="1">
        <v>45979.660087581018</v>
      </c>
      <c r="E31" s="1"/>
      <c r="F31" t="s">
        <v>14</v>
      </c>
      <c r="G31" t="s">
        <v>18</v>
      </c>
    </row>
    <row r="32" spans="1:11" x14ac:dyDescent="0.25">
      <c r="A32" t="s">
        <v>79</v>
      </c>
      <c r="B32" t="s">
        <v>42</v>
      </c>
      <c r="C32" t="s">
        <v>80</v>
      </c>
      <c r="D32" s="1">
        <v>46020.454036736111</v>
      </c>
      <c r="E32" s="1"/>
      <c r="F32" t="s">
        <v>39</v>
      </c>
      <c r="G32" t="s">
        <v>40</v>
      </c>
    </row>
    <row r="33" spans="1:11" x14ac:dyDescent="0.25">
      <c r="A33" t="s">
        <v>81</v>
      </c>
      <c r="B33" t="s">
        <v>42</v>
      </c>
      <c r="C33" t="s">
        <v>82</v>
      </c>
      <c r="D33" s="1">
        <v>46020.454963090277</v>
      </c>
      <c r="E33" s="1"/>
      <c r="F33" t="s">
        <v>39</v>
      </c>
      <c r="G33" t="s">
        <v>40</v>
      </c>
    </row>
    <row r="34" spans="1:11" x14ac:dyDescent="0.25">
      <c r="A34" t="s">
        <v>83</v>
      </c>
      <c r="B34" t="s">
        <v>42</v>
      </c>
      <c r="C34" t="s">
        <v>84</v>
      </c>
      <c r="D34" s="1">
        <v>45979.660089895835</v>
      </c>
      <c r="E34" s="1"/>
      <c r="F34" t="s">
        <v>14</v>
      </c>
      <c r="G34" t="s">
        <v>18</v>
      </c>
    </row>
    <row r="35" spans="1:11" x14ac:dyDescent="0.25">
      <c r="A35" t="s">
        <v>85</v>
      </c>
      <c r="B35" t="s">
        <v>42</v>
      </c>
      <c r="C35" t="s">
        <v>86</v>
      </c>
      <c r="D35" s="1">
        <v>46020.457127581016</v>
      </c>
      <c r="E35" s="1"/>
      <c r="F35" t="s">
        <v>39</v>
      </c>
      <c r="G35" t="s">
        <v>40</v>
      </c>
    </row>
    <row r="36" spans="1:11" x14ac:dyDescent="0.25">
      <c r="A36" t="s">
        <v>87</v>
      </c>
      <c r="B36" t="s">
        <v>42</v>
      </c>
      <c r="C36" t="s">
        <v>88</v>
      </c>
      <c r="D36" s="1">
        <v>46020.435245509259</v>
      </c>
      <c r="E36" s="1"/>
      <c r="F36" t="s">
        <v>39</v>
      </c>
      <c r="G36" t="s">
        <v>40</v>
      </c>
    </row>
    <row r="37" spans="1:11" x14ac:dyDescent="0.25">
      <c r="A37" t="s">
        <v>89</v>
      </c>
      <c r="B37" t="s">
        <v>42</v>
      </c>
      <c r="C37" t="s">
        <v>90</v>
      </c>
      <c r="D37" s="1">
        <v>46020.441241956018</v>
      </c>
      <c r="E37" s="1"/>
      <c r="F37" t="s">
        <v>39</v>
      </c>
      <c r="G37" t="s">
        <v>40</v>
      </c>
    </row>
    <row r="38" spans="1:11" x14ac:dyDescent="0.25">
      <c r="A38" t="s">
        <v>91</v>
      </c>
      <c r="B38" t="s">
        <v>42</v>
      </c>
      <c r="C38" t="s">
        <v>92</v>
      </c>
      <c r="D38" s="1">
        <v>46020.424933842594</v>
      </c>
      <c r="E38" s="1"/>
      <c r="F38" t="s">
        <v>14</v>
      </c>
      <c r="G38" t="s">
        <v>93</v>
      </c>
    </row>
    <row r="39" spans="1:11" x14ac:dyDescent="0.25">
      <c r="A39" t="s">
        <v>94</v>
      </c>
      <c r="B39" t="s">
        <v>42</v>
      </c>
      <c r="C39" t="s">
        <v>95</v>
      </c>
      <c r="D39" s="1">
        <v>46020.396033113429</v>
      </c>
      <c r="E39" s="1">
        <v>46013.422974189816</v>
      </c>
      <c r="F39" t="s">
        <v>14</v>
      </c>
      <c r="G39" t="s">
        <v>93</v>
      </c>
      <c r="H39">
        <v>9150</v>
      </c>
      <c r="I39">
        <v>2790</v>
      </c>
      <c r="J39">
        <v>2360</v>
      </c>
      <c r="K39">
        <v>4530</v>
      </c>
    </row>
    <row r="40" spans="1:11" x14ac:dyDescent="0.25">
      <c r="A40" t="s">
        <v>96</v>
      </c>
      <c r="B40" t="s">
        <v>42</v>
      </c>
      <c r="C40" t="s">
        <v>97</v>
      </c>
      <c r="D40" s="1">
        <v>46020.412047071761</v>
      </c>
      <c r="E40" s="1"/>
      <c r="F40" t="s">
        <v>14</v>
      </c>
      <c r="G40" t="s">
        <v>93</v>
      </c>
    </row>
    <row r="41" spans="1:11" x14ac:dyDescent="0.25">
      <c r="A41" t="s">
        <v>98</v>
      </c>
      <c r="B41" t="s">
        <v>42</v>
      </c>
      <c r="C41" t="s">
        <v>22</v>
      </c>
      <c r="D41" s="1">
        <v>46020.398234432869</v>
      </c>
      <c r="E41" s="1">
        <v>46013.425024456017</v>
      </c>
      <c r="F41" t="s">
        <v>14</v>
      </c>
      <c r="G41" t="s">
        <v>93</v>
      </c>
      <c r="H41">
        <v>12950</v>
      </c>
      <c r="I41">
        <v>2790</v>
      </c>
      <c r="J41">
        <v>2670</v>
      </c>
      <c r="K41">
        <v>3410</v>
      </c>
    </row>
    <row r="42" spans="1:11" x14ac:dyDescent="0.25">
      <c r="A42" t="s">
        <v>99</v>
      </c>
      <c r="B42" t="s">
        <v>42</v>
      </c>
      <c r="C42" t="s">
        <v>100</v>
      </c>
      <c r="D42" s="1">
        <v>46020.440008391204</v>
      </c>
      <c r="E42" s="1">
        <v>46020.440008391204</v>
      </c>
      <c r="F42" t="s">
        <v>69</v>
      </c>
      <c r="G42" t="s">
        <v>70</v>
      </c>
      <c r="H42">
        <v>16440</v>
      </c>
      <c r="I42">
        <v>2780</v>
      </c>
      <c r="J42">
        <v>2150</v>
      </c>
      <c r="K42">
        <v>2820</v>
      </c>
    </row>
    <row r="43" spans="1:11" x14ac:dyDescent="0.25">
      <c r="A43" t="s">
        <v>101</v>
      </c>
      <c r="B43" t="s">
        <v>42</v>
      </c>
      <c r="C43" t="s">
        <v>102</v>
      </c>
      <c r="D43" s="1">
        <v>46020.399786898146</v>
      </c>
      <c r="E43" s="1">
        <v>46020.399786898146</v>
      </c>
      <c r="F43" t="s">
        <v>69</v>
      </c>
      <c r="G43" t="s">
        <v>70</v>
      </c>
      <c r="H43">
        <v>12950</v>
      </c>
      <c r="I43">
        <v>2780</v>
      </c>
      <c r="J43">
        <v>2150</v>
      </c>
      <c r="K43">
        <v>2820</v>
      </c>
    </row>
    <row r="44" spans="1:11" x14ac:dyDescent="0.25">
      <c r="A44" t="s">
        <v>103</v>
      </c>
      <c r="B44" t="s">
        <v>42</v>
      </c>
      <c r="C44" t="s">
        <v>104</v>
      </c>
      <c r="D44" s="1">
        <v>46020.416098217589</v>
      </c>
      <c r="E44" s="1"/>
      <c r="F44" t="s">
        <v>39</v>
      </c>
      <c r="G44" t="s">
        <v>40</v>
      </c>
    </row>
    <row r="45" spans="1:11" x14ac:dyDescent="0.25">
      <c r="A45" t="s">
        <v>105</v>
      </c>
      <c r="B45" t="s">
        <v>42</v>
      </c>
      <c r="C45" t="s">
        <v>33</v>
      </c>
      <c r="D45" s="1">
        <v>46020.418443136572</v>
      </c>
      <c r="E45" s="1">
        <v>46020.418443136572</v>
      </c>
      <c r="F45" t="s">
        <v>69</v>
      </c>
      <c r="G45" t="s">
        <v>70</v>
      </c>
      <c r="H45">
        <v>20260</v>
      </c>
      <c r="I45">
        <v>2780</v>
      </c>
      <c r="J45">
        <v>2440</v>
      </c>
      <c r="K45">
        <v>3910</v>
      </c>
    </row>
    <row r="46" spans="1:11" x14ac:dyDescent="0.25">
      <c r="A46" t="s">
        <v>106</v>
      </c>
      <c r="B46" t="s">
        <v>42</v>
      </c>
      <c r="C46" t="s">
        <v>107</v>
      </c>
      <c r="D46" s="1">
        <v>46020.445641053244</v>
      </c>
      <c r="E46" s="1"/>
      <c r="F46" t="s">
        <v>39</v>
      </c>
      <c r="G46" t="s">
        <v>40</v>
      </c>
    </row>
    <row r="47" spans="1:11" x14ac:dyDescent="0.25">
      <c r="A47" t="s">
        <v>108</v>
      </c>
      <c r="B47" t="s">
        <v>42</v>
      </c>
      <c r="C47" t="s">
        <v>109</v>
      </c>
      <c r="D47" s="1">
        <v>46020.414853784721</v>
      </c>
      <c r="E47" s="1"/>
      <c r="F47" t="s">
        <v>39</v>
      </c>
      <c r="G47" t="s">
        <v>40</v>
      </c>
    </row>
    <row r="48" spans="1:11" x14ac:dyDescent="0.25">
      <c r="A48" t="s">
        <v>110</v>
      </c>
      <c r="B48" t="s">
        <v>42</v>
      </c>
      <c r="C48" t="s">
        <v>111</v>
      </c>
      <c r="D48" s="1">
        <v>46020.453419097219</v>
      </c>
      <c r="E48" s="1"/>
      <c r="F48" t="s">
        <v>39</v>
      </c>
      <c r="G48" t="s">
        <v>40</v>
      </c>
    </row>
    <row r="49" spans="1:11" x14ac:dyDescent="0.25">
      <c r="A49" t="s">
        <v>112</v>
      </c>
      <c r="B49" t="s">
        <v>42</v>
      </c>
      <c r="C49" t="s">
        <v>113</v>
      </c>
      <c r="D49" s="1">
        <v>45979.660089108795</v>
      </c>
      <c r="E49" s="1"/>
      <c r="F49" t="s">
        <v>14</v>
      </c>
      <c r="G49" t="s">
        <v>18</v>
      </c>
    </row>
    <row r="50" spans="1:11" x14ac:dyDescent="0.25">
      <c r="A50" t="s">
        <v>114</v>
      </c>
      <c r="B50" t="s">
        <v>42</v>
      </c>
      <c r="C50" t="s">
        <v>115</v>
      </c>
      <c r="D50" s="1">
        <v>46020.432450347223</v>
      </c>
      <c r="E50" s="1"/>
      <c r="F50" t="s">
        <v>39</v>
      </c>
      <c r="G50" t="s">
        <v>40</v>
      </c>
    </row>
    <row r="51" spans="1:11" x14ac:dyDescent="0.25">
      <c r="A51" t="s">
        <v>116</v>
      </c>
      <c r="B51" t="s">
        <v>42</v>
      </c>
      <c r="C51" t="s">
        <v>117</v>
      </c>
      <c r="D51" s="1">
        <v>46020.452183032408</v>
      </c>
      <c r="E51" s="1"/>
      <c r="F51" t="s">
        <v>14</v>
      </c>
      <c r="G51" t="s">
        <v>118</v>
      </c>
    </row>
    <row r="52" spans="1:11" x14ac:dyDescent="0.25">
      <c r="A52" t="s">
        <v>119</v>
      </c>
      <c r="B52" t="s">
        <v>42</v>
      </c>
      <c r="C52" t="s">
        <v>120</v>
      </c>
      <c r="D52" s="1">
        <v>46020.442479062498</v>
      </c>
      <c r="E52" s="1"/>
      <c r="F52" t="s">
        <v>39</v>
      </c>
      <c r="G52" t="s">
        <v>40</v>
      </c>
    </row>
    <row r="53" spans="1:11" x14ac:dyDescent="0.25">
      <c r="A53" t="s">
        <v>121</v>
      </c>
      <c r="B53" t="s">
        <v>42</v>
      </c>
      <c r="C53" t="s">
        <v>122</v>
      </c>
      <c r="D53" s="1">
        <v>46020.429024293982</v>
      </c>
      <c r="E53" s="1"/>
      <c r="F53" t="s">
        <v>39</v>
      </c>
      <c r="G53" t="s">
        <v>40</v>
      </c>
    </row>
    <row r="54" spans="1:11" x14ac:dyDescent="0.25">
      <c r="A54" t="s">
        <v>123</v>
      </c>
      <c r="B54" t="s">
        <v>42</v>
      </c>
      <c r="C54" t="s">
        <v>124</v>
      </c>
      <c r="D54" s="1">
        <v>46020.434618807871</v>
      </c>
      <c r="E54" s="1"/>
      <c r="F54" t="s">
        <v>39</v>
      </c>
      <c r="G54" t="s">
        <v>40</v>
      </c>
    </row>
    <row r="55" spans="1:11" x14ac:dyDescent="0.25">
      <c r="A55" t="s">
        <v>125</v>
      </c>
      <c r="B55" t="s">
        <v>42</v>
      </c>
      <c r="C55" t="s">
        <v>126</v>
      </c>
      <c r="D55" s="1">
        <v>46020.400572523147</v>
      </c>
      <c r="E55" s="1">
        <v>46020.400572523147</v>
      </c>
      <c r="F55" t="s">
        <v>69</v>
      </c>
      <c r="G55" t="s">
        <v>70</v>
      </c>
      <c r="H55">
        <v>25380</v>
      </c>
      <c r="I55">
        <v>2780</v>
      </c>
      <c r="J55">
        <v>3940</v>
      </c>
      <c r="K55">
        <v>2080</v>
      </c>
    </row>
    <row r="56" spans="1:11" x14ac:dyDescent="0.25">
      <c r="A56" t="s">
        <v>127</v>
      </c>
      <c r="B56" t="s">
        <v>42</v>
      </c>
      <c r="C56" t="s">
        <v>128</v>
      </c>
      <c r="D56" s="1">
        <v>46020.428123958336</v>
      </c>
      <c r="E56" s="1"/>
      <c r="F56" t="s">
        <v>39</v>
      </c>
      <c r="G56" t="s">
        <v>40</v>
      </c>
    </row>
    <row r="57" spans="1:11" x14ac:dyDescent="0.25">
      <c r="A57" t="s">
        <v>129</v>
      </c>
      <c r="B57" t="s">
        <v>42</v>
      </c>
      <c r="C57" t="s">
        <v>130</v>
      </c>
      <c r="D57" s="1">
        <v>46020.459903738425</v>
      </c>
      <c r="E57" s="1"/>
      <c r="F57" t="s">
        <v>14</v>
      </c>
      <c r="G57" t="s">
        <v>131</v>
      </c>
    </row>
    <row r="58" spans="1:11" x14ac:dyDescent="0.25">
      <c r="A58" t="s">
        <v>132</v>
      </c>
      <c r="B58" t="s">
        <v>42</v>
      </c>
      <c r="C58" t="s">
        <v>133</v>
      </c>
      <c r="D58" s="1">
        <v>46020.450588564818</v>
      </c>
      <c r="E58" s="1"/>
      <c r="F58" t="s">
        <v>39</v>
      </c>
      <c r="G58" t="s">
        <v>40</v>
      </c>
    </row>
    <row r="59" spans="1:11" x14ac:dyDescent="0.25">
      <c r="A59" t="s">
        <v>134</v>
      </c>
      <c r="B59" t="s">
        <v>42</v>
      </c>
      <c r="C59" t="s">
        <v>135</v>
      </c>
      <c r="D59" s="1">
        <v>46020.425604537035</v>
      </c>
      <c r="E59" s="1"/>
      <c r="F59" t="s">
        <v>39</v>
      </c>
      <c r="G59" t="s">
        <v>40</v>
      </c>
    </row>
    <row r="60" spans="1:11" x14ac:dyDescent="0.25">
      <c r="A60" t="s">
        <v>136</v>
      </c>
      <c r="B60" t="s">
        <v>42</v>
      </c>
      <c r="C60" t="s">
        <v>137</v>
      </c>
      <c r="D60" s="1">
        <v>46020.429958912035</v>
      </c>
      <c r="E60" s="1"/>
      <c r="F60" t="s">
        <v>39</v>
      </c>
      <c r="G60" t="s">
        <v>40</v>
      </c>
    </row>
    <row r="61" spans="1:11" x14ac:dyDescent="0.25">
      <c r="A61" t="s">
        <v>138</v>
      </c>
      <c r="B61" t="s">
        <v>42</v>
      </c>
      <c r="C61" t="s">
        <v>139</v>
      </c>
      <c r="D61" s="1">
        <v>46020.446663958333</v>
      </c>
      <c r="E61" s="1"/>
      <c r="F61" t="s">
        <v>39</v>
      </c>
      <c r="G61" t="s">
        <v>40</v>
      </c>
    </row>
    <row r="62" spans="1:11" x14ac:dyDescent="0.25">
      <c r="A62" t="s">
        <v>140</v>
      </c>
      <c r="B62" t="s">
        <v>42</v>
      </c>
      <c r="C62" t="s">
        <v>141</v>
      </c>
      <c r="D62" s="1">
        <v>46020.437167453703</v>
      </c>
      <c r="E62" s="1"/>
      <c r="F62" t="s">
        <v>39</v>
      </c>
      <c r="G62" t="s">
        <v>40</v>
      </c>
    </row>
    <row r="63" spans="1:11" x14ac:dyDescent="0.25">
      <c r="A63" t="s">
        <v>142</v>
      </c>
      <c r="B63" t="s">
        <v>42</v>
      </c>
      <c r="C63" t="s">
        <v>143</v>
      </c>
      <c r="D63" s="1">
        <v>46020.427169236114</v>
      </c>
      <c r="E63" s="1"/>
      <c r="F63" t="s">
        <v>39</v>
      </c>
      <c r="G63" t="s">
        <v>40</v>
      </c>
    </row>
    <row r="64" spans="1:11" x14ac:dyDescent="0.25">
      <c r="A64" t="s">
        <v>144</v>
      </c>
      <c r="B64" t="s">
        <v>42</v>
      </c>
      <c r="C64" t="s">
        <v>145</v>
      </c>
      <c r="D64" s="1">
        <v>46020.438108275463</v>
      </c>
      <c r="E64" s="1"/>
      <c r="F64" t="s">
        <v>39</v>
      </c>
      <c r="G64" t="s">
        <v>40</v>
      </c>
    </row>
    <row r="65" spans="1:11" x14ac:dyDescent="0.25">
      <c r="A65" t="s">
        <v>146</v>
      </c>
      <c r="B65" t="s">
        <v>42</v>
      </c>
      <c r="C65" t="s">
        <v>147</v>
      </c>
      <c r="D65" s="1">
        <v>46020.408627222219</v>
      </c>
      <c r="E65" s="1"/>
      <c r="F65" t="s">
        <v>39</v>
      </c>
      <c r="G65" t="s">
        <v>40</v>
      </c>
    </row>
    <row r="66" spans="1:11" x14ac:dyDescent="0.25">
      <c r="A66" t="s">
        <v>148</v>
      </c>
      <c r="B66" t="s">
        <v>42</v>
      </c>
      <c r="C66" t="s">
        <v>149</v>
      </c>
      <c r="D66" s="1">
        <v>46020.457745856482</v>
      </c>
      <c r="E66" s="1"/>
      <c r="F66" t="s">
        <v>39</v>
      </c>
      <c r="G66" t="s">
        <v>40</v>
      </c>
    </row>
    <row r="67" spans="1:11" x14ac:dyDescent="0.25">
      <c r="A67" t="s">
        <v>150</v>
      </c>
      <c r="B67" t="s">
        <v>42</v>
      </c>
      <c r="C67" t="s">
        <v>151</v>
      </c>
      <c r="D67" s="1">
        <v>46020.398793611108</v>
      </c>
      <c r="E67" s="1">
        <v>46020.398793611108</v>
      </c>
      <c r="F67" t="s">
        <v>69</v>
      </c>
      <c r="G67" t="s">
        <v>70</v>
      </c>
      <c r="H67">
        <v>11650</v>
      </c>
      <c r="I67">
        <v>2780</v>
      </c>
      <c r="J67">
        <v>2360</v>
      </c>
      <c r="K67">
        <v>3730</v>
      </c>
    </row>
    <row r="68" spans="1:11" x14ac:dyDescent="0.25">
      <c r="A68" t="s">
        <v>152</v>
      </c>
      <c r="B68" t="s">
        <v>42</v>
      </c>
      <c r="C68" t="s">
        <v>153</v>
      </c>
      <c r="D68" s="1">
        <v>46020.426543634261</v>
      </c>
      <c r="E68" s="1"/>
      <c r="F68" t="s">
        <v>39</v>
      </c>
      <c r="G68" t="s">
        <v>40</v>
      </c>
    </row>
    <row r="69" spans="1:11" x14ac:dyDescent="0.25">
      <c r="A69" t="s">
        <v>154</v>
      </c>
      <c r="B69" t="s">
        <v>42</v>
      </c>
      <c r="C69" t="s">
        <v>155</v>
      </c>
      <c r="D69" s="1">
        <v>46020.402786458333</v>
      </c>
      <c r="E69" s="1">
        <v>46020.402786458333</v>
      </c>
      <c r="F69" t="s">
        <v>69</v>
      </c>
      <c r="G69" t="s">
        <v>70</v>
      </c>
      <c r="H69">
        <v>12650</v>
      </c>
      <c r="I69">
        <v>2780</v>
      </c>
      <c r="J69">
        <v>2360</v>
      </c>
      <c r="K69">
        <v>5030</v>
      </c>
    </row>
    <row r="70" spans="1:11" x14ac:dyDescent="0.25">
      <c r="A70" t="s">
        <v>156</v>
      </c>
      <c r="B70" t="s">
        <v>42</v>
      </c>
      <c r="C70" t="s">
        <v>157</v>
      </c>
      <c r="D70" s="1">
        <v>46020.397519143517</v>
      </c>
      <c r="E70" s="1">
        <v>46020.397519143517</v>
      </c>
      <c r="F70" t="s">
        <v>69</v>
      </c>
      <c r="G70" t="s">
        <v>70</v>
      </c>
      <c r="H70">
        <v>29880</v>
      </c>
      <c r="I70">
        <v>2780</v>
      </c>
      <c r="J70">
        <v>3940</v>
      </c>
      <c r="K70">
        <v>2650</v>
      </c>
    </row>
    <row r="71" spans="1:11" x14ac:dyDescent="0.25">
      <c r="A71" t="s">
        <v>158</v>
      </c>
      <c r="B71" t="s">
        <v>42</v>
      </c>
      <c r="C71" t="s">
        <v>159</v>
      </c>
      <c r="D71" s="1">
        <v>46020.397001747682</v>
      </c>
      <c r="E71" s="1">
        <v>46020.397001747682</v>
      </c>
      <c r="F71" t="s">
        <v>69</v>
      </c>
      <c r="G71" t="s">
        <v>70</v>
      </c>
      <c r="H71">
        <v>33220</v>
      </c>
      <c r="I71">
        <v>2780</v>
      </c>
      <c r="J71">
        <v>4940</v>
      </c>
    </row>
    <row r="72" spans="1:11" x14ac:dyDescent="0.25">
      <c r="A72" t="s">
        <v>160</v>
      </c>
      <c r="B72" t="s">
        <v>42</v>
      </c>
      <c r="C72" t="s">
        <v>161</v>
      </c>
      <c r="D72" s="1">
        <v>46020.448225868058</v>
      </c>
      <c r="E72" s="1"/>
      <c r="F72" t="s">
        <v>39</v>
      </c>
      <c r="G72" t="s">
        <v>40</v>
      </c>
    </row>
    <row r="73" spans="1:11" x14ac:dyDescent="0.25">
      <c r="A73" t="s">
        <v>162</v>
      </c>
      <c r="B73" t="s">
        <v>42</v>
      </c>
      <c r="C73" t="s">
        <v>163</v>
      </c>
      <c r="D73" s="1">
        <v>46020.452801192128</v>
      </c>
      <c r="E73" s="1"/>
      <c r="F73" t="s">
        <v>39</v>
      </c>
      <c r="G73" t="s">
        <v>40</v>
      </c>
    </row>
    <row r="74" spans="1:11" x14ac:dyDescent="0.25">
      <c r="A74" t="s">
        <v>164</v>
      </c>
      <c r="B74" t="s">
        <v>42</v>
      </c>
      <c r="C74" t="s">
        <v>165</v>
      </c>
      <c r="D74" s="1">
        <v>46020.451515312503</v>
      </c>
      <c r="E74" s="1"/>
      <c r="F74" t="s">
        <v>39</v>
      </c>
      <c r="G74" t="s">
        <v>40</v>
      </c>
    </row>
    <row r="75" spans="1:11" x14ac:dyDescent="0.25">
      <c r="A75" t="s">
        <v>166</v>
      </c>
      <c r="B75" t="s">
        <v>42</v>
      </c>
      <c r="C75" t="s">
        <v>167</v>
      </c>
      <c r="D75" s="1">
        <v>45979.660086597221</v>
      </c>
      <c r="E75" s="1"/>
      <c r="F75" t="s">
        <v>14</v>
      </c>
      <c r="G75" t="s">
        <v>18</v>
      </c>
    </row>
    <row r="76" spans="1:11" x14ac:dyDescent="0.25">
      <c r="A76" t="s">
        <v>168</v>
      </c>
      <c r="B76" t="s">
        <v>42</v>
      </c>
      <c r="C76" t="s">
        <v>169</v>
      </c>
      <c r="D76" s="1">
        <v>45979.655317986108</v>
      </c>
      <c r="E76" s="1"/>
      <c r="F76" t="s">
        <v>14</v>
      </c>
      <c r="G76" t="s">
        <v>170</v>
      </c>
    </row>
    <row r="77" spans="1:11" x14ac:dyDescent="0.25">
      <c r="A77" t="s">
        <v>171</v>
      </c>
      <c r="B77" t="s">
        <v>42</v>
      </c>
      <c r="C77" t="s">
        <v>172</v>
      </c>
      <c r="D77" s="1">
        <v>45979.660086249998</v>
      </c>
      <c r="E77" s="1"/>
      <c r="F77" t="s">
        <v>14</v>
      </c>
      <c r="G77" t="s">
        <v>18</v>
      </c>
    </row>
    <row r="78" spans="1:11" x14ac:dyDescent="0.25">
      <c r="A78" t="s">
        <v>173</v>
      </c>
      <c r="B78" t="s">
        <v>42</v>
      </c>
      <c r="C78" t="s">
        <v>174</v>
      </c>
      <c r="D78" s="1">
        <v>45979.660089432873</v>
      </c>
      <c r="E78" s="1"/>
      <c r="F78" t="s">
        <v>14</v>
      </c>
      <c r="G78" t="s">
        <v>18</v>
      </c>
    </row>
    <row r="79" spans="1:11" x14ac:dyDescent="0.25">
      <c r="A79" t="s">
        <v>175</v>
      </c>
      <c r="B79" t="s">
        <v>42</v>
      </c>
      <c r="C79" t="s">
        <v>176</v>
      </c>
      <c r="D79" s="1">
        <v>45979.652282662035</v>
      </c>
      <c r="E79" s="1"/>
      <c r="F79" t="s">
        <v>14</v>
      </c>
      <c r="G79" t="s">
        <v>177</v>
      </c>
    </row>
    <row r="80" spans="1:11" x14ac:dyDescent="0.25">
      <c r="A80" t="s">
        <v>178</v>
      </c>
      <c r="B80" t="s">
        <v>42</v>
      </c>
      <c r="C80" t="s">
        <v>179</v>
      </c>
      <c r="D80" s="1">
        <v>45979.660089363424</v>
      </c>
      <c r="E80" s="1"/>
      <c r="F80" t="s">
        <v>14</v>
      </c>
      <c r="G80" t="s">
        <v>18</v>
      </c>
    </row>
    <row r="81" spans="1:7" x14ac:dyDescent="0.25">
      <c r="A81" t="s">
        <v>180</v>
      </c>
      <c r="B81" t="s">
        <v>42</v>
      </c>
      <c r="C81" t="s">
        <v>181</v>
      </c>
      <c r="D81" s="1">
        <v>45979.653703298609</v>
      </c>
      <c r="E81" s="1"/>
      <c r="F81" t="s">
        <v>39</v>
      </c>
      <c r="G81" t="s">
        <v>40</v>
      </c>
    </row>
    <row r="82" spans="1:7" x14ac:dyDescent="0.25">
      <c r="A82" t="s">
        <v>182</v>
      </c>
      <c r="B82" t="s">
        <v>42</v>
      </c>
      <c r="C82" t="s">
        <v>183</v>
      </c>
      <c r="D82" s="1">
        <v>46020.435558379628</v>
      </c>
      <c r="E82" s="1"/>
      <c r="F82" t="s">
        <v>39</v>
      </c>
      <c r="G82" t="s">
        <v>40</v>
      </c>
    </row>
    <row r="83" spans="1:7" x14ac:dyDescent="0.25">
      <c r="A83" t="s">
        <v>184</v>
      </c>
      <c r="B83" t="s">
        <v>42</v>
      </c>
      <c r="C83" t="s">
        <v>185</v>
      </c>
      <c r="D83" s="1">
        <v>46020.441861828702</v>
      </c>
      <c r="E83" s="1"/>
      <c r="F83" t="s">
        <v>39</v>
      </c>
      <c r="G83" t="s">
        <v>40</v>
      </c>
    </row>
    <row r="84" spans="1:7" x14ac:dyDescent="0.25">
      <c r="A84" t="s">
        <v>186</v>
      </c>
      <c r="B84" t="s">
        <v>42</v>
      </c>
      <c r="C84" t="s">
        <v>187</v>
      </c>
      <c r="D84" s="1">
        <v>46020.444026122685</v>
      </c>
      <c r="E84" s="1"/>
      <c r="F84" t="s">
        <v>39</v>
      </c>
      <c r="G84" t="s">
        <v>40</v>
      </c>
    </row>
    <row r="85" spans="1:7" x14ac:dyDescent="0.25">
      <c r="A85" t="s">
        <v>188</v>
      </c>
      <c r="B85" t="s">
        <v>42</v>
      </c>
      <c r="C85" t="s">
        <v>189</v>
      </c>
      <c r="D85" s="1">
        <v>45979.660087847224</v>
      </c>
      <c r="E85" s="1"/>
      <c r="F85" t="s">
        <v>14</v>
      </c>
      <c r="G85" t="s">
        <v>18</v>
      </c>
    </row>
    <row r="86" spans="1:7" x14ac:dyDescent="0.25">
      <c r="A86" t="s">
        <v>190</v>
      </c>
      <c r="B86" t="s">
        <v>42</v>
      </c>
      <c r="C86" t="s">
        <v>191</v>
      </c>
      <c r="D86" s="1">
        <v>46020.446972696758</v>
      </c>
      <c r="E86" s="1"/>
      <c r="F86" t="s">
        <v>39</v>
      </c>
      <c r="G86" t="s">
        <v>40</v>
      </c>
    </row>
    <row r="87" spans="1:7" x14ac:dyDescent="0.25">
      <c r="A87" t="s">
        <v>192</v>
      </c>
      <c r="B87" t="s">
        <v>42</v>
      </c>
      <c r="C87" t="s">
        <v>193</v>
      </c>
      <c r="D87" s="1">
        <v>45979.660087951386</v>
      </c>
      <c r="E87" s="1"/>
      <c r="F87" t="s">
        <v>14</v>
      </c>
      <c r="G87" t="s">
        <v>18</v>
      </c>
    </row>
    <row r="88" spans="1:7" x14ac:dyDescent="0.25">
      <c r="A88" t="s">
        <v>194</v>
      </c>
      <c r="B88" t="s">
        <v>42</v>
      </c>
      <c r="C88" t="s">
        <v>195</v>
      </c>
      <c r="D88" s="1">
        <v>46020.449662523148</v>
      </c>
      <c r="E88" s="1"/>
      <c r="F88" t="s">
        <v>39</v>
      </c>
      <c r="G88" t="s">
        <v>40</v>
      </c>
    </row>
    <row r="89" spans="1:7" x14ac:dyDescent="0.25">
      <c r="A89" t="s">
        <v>196</v>
      </c>
      <c r="B89" t="s">
        <v>42</v>
      </c>
      <c r="C89" t="s">
        <v>197</v>
      </c>
      <c r="D89" s="1">
        <v>46020.412982222224</v>
      </c>
      <c r="E89" s="1"/>
      <c r="F89" t="s">
        <v>39</v>
      </c>
      <c r="G89" t="s">
        <v>40</v>
      </c>
    </row>
    <row r="90" spans="1:7" x14ac:dyDescent="0.25">
      <c r="A90" t="s">
        <v>198</v>
      </c>
      <c r="B90" t="s">
        <v>42</v>
      </c>
      <c r="C90" t="s">
        <v>199</v>
      </c>
      <c r="D90" s="1">
        <v>46020.431513750002</v>
      </c>
      <c r="E90" s="1"/>
      <c r="F90" t="s">
        <v>39</v>
      </c>
      <c r="G90" t="s">
        <v>40</v>
      </c>
    </row>
    <row r="91" spans="1:7" x14ac:dyDescent="0.25">
      <c r="A91" t="s">
        <v>200</v>
      </c>
      <c r="B91" t="s">
        <v>42</v>
      </c>
      <c r="C91" t="s">
        <v>201</v>
      </c>
      <c r="D91" s="1">
        <v>46020.410322881944</v>
      </c>
      <c r="E91" s="1"/>
      <c r="F91" t="s">
        <v>14</v>
      </c>
      <c r="G91" t="s">
        <v>202</v>
      </c>
    </row>
    <row r="92" spans="1:7" x14ac:dyDescent="0.25">
      <c r="A92" t="s">
        <v>203</v>
      </c>
      <c r="B92" t="s">
        <v>42</v>
      </c>
      <c r="C92" t="s">
        <v>204</v>
      </c>
      <c r="D92" s="1">
        <v>46020.443407662038</v>
      </c>
      <c r="E92" s="1"/>
      <c r="F92" t="s">
        <v>39</v>
      </c>
      <c r="G92" t="s">
        <v>40</v>
      </c>
    </row>
    <row r="93" spans="1:7" x14ac:dyDescent="0.25">
      <c r="A93" t="s">
        <v>205</v>
      </c>
      <c r="B93" t="s">
        <v>42</v>
      </c>
      <c r="C93" t="s">
        <v>206</v>
      </c>
      <c r="D93" s="1">
        <v>46020.458672326386</v>
      </c>
      <c r="E93" s="1"/>
      <c r="F93" t="s">
        <v>39</v>
      </c>
      <c r="G93" t="s">
        <v>40</v>
      </c>
    </row>
    <row r="94" spans="1:7" x14ac:dyDescent="0.25">
      <c r="A94" t="s">
        <v>207</v>
      </c>
      <c r="B94" t="s">
        <v>42</v>
      </c>
      <c r="C94" t="s">
        <v>208</v>
      </c>
      <c r="D94" s="1">
        <v>46020.456509618052</v>
      </c>
      <c r="E94" s="1"/>
      <c r="F94" t="s">
        <v>39</v>
      </c>
      <c r="G94" t="s">
        <v>40</v>
      </c>
    </row>
    <row r="95" spans="1:7" x14ac:dyDescent="0.25">
      <c r="A95" t="s">
        <v>209</v>
      </c>
      <c r="B95" t="s">
        <v>42</v>
      </c>
      <c r="C95" t="s">
        <v>210</v>
      </c>
      <c r="D95" s="1">
        <v>46020.436230659725</v>
      </c>
      <c r="E95" s="1"/>
      <c r="F95" t="s">
        <v>14</v>
      </c>
      <c r="G95" t="s">
        <v>211</v>
      </c>
    </row>
    <row r="96" spans="1:7" x14ac:dyDescent="0.25">
      <c r="A96" t="s">
        <v>212</v>
      </c>
      <c r="B96" t="s">
        <v>42</v>
      </c>
      <c r="C96" t="s">
        <v>213</v>
      </c>
      <c r="D96" s="1">
        <v>46020.433078576389</v>
      </c>
      <c r="E96" s="1"/>
      <c r="F96" t="s">
        <v>39</v>
      </c>
      <c r="G96" t="s">
        <v>40</v>
      </c>
    </row>
    <row r="97" spans="1:11" x14ac:dyDescent="0.25">
      <c r="A97" t="s">
        <v>214</v>
      </c>
      <c r="B97" t="s">
        <v>42</v>
      </c>
      <c r="C97" t="s">
        <v>215</v>
      </c>
      <c r="D97" s="1">
        <v>46020.439731712962</v>
      </c>
      <c r="E97" s="1"/>
      <c r="F97" t="s">
        <v>39</v>
      </c>
      <c r="G97" t="s">
        <v>40</v>
      </c>
    </row>
    <row r="98" spans="1:11" x14ac:dyDescent="0.25">
      <c r="A98" t="s">
        <v>216</v>
      </c>
      <c r="B98" t="s">
        <v>42</v>
      </c>
      <c r="C98" t="s">
        <v>38</v>
      </c>
      <c r="D98" s="1">
        <v>45979.660088275465</v>
      </c>
      <c r="E98" s="1"/>
      <c r="F98" t="s">
        <v>14</v>
      </c>
      <c r="G98" t="s">
        <v>18</v>
      </c>
    </row>
    <row r="99" spans="1:11" x14ac:dyDescent="0.25">
      <c r="A99" t="s">
        <v>217</v>
      </c>
      <c r="B99" t="s">
        <v>218</v>
      </c>
      <c r="C99" t="s">
        <v>109</v>
      </c>
      <c r="D99" s="1">
        <v>45979.64238795139</v>
      </c>
      <c r="E99" s="1">
        <v>45977.607543240738</v>
      </c>
      <c r="F99" t="s">
        <v>14</v>
      </c>
      <c r="G99" t="s">
        <v>93</v>
      </c>
      <c r="H99">
        <v>5530</v>
      </c>
      <c r="I99">
        <v>37010</v>
      </c>
      <c r="J99">
        <v>3640</v>
      </c>
      <c r="K99">
        <v>3430</v>
      </c>
    </row>
    <row r="100" spans="1:11" x14ac:dyDescent="0.25">
      <c r="A100" t="s">
        <v>219</v>
      </c>
      <c r="B100" t="s">
        <v>218</v>
      </c>
      <c r="C100" t="s">
        <v>113</v>
      </c>
      <c r="D100" s="1">
        <v>46020.415165347222</v>
      </c>
      <c r="E100" s="1"/>
      <c r="F100" t="s">
        <v>39</v>
      </c>
      <c r="G100" t="s">
        <v>40</v>
      </c>
    </row>
    <row r="101" spans="1:11" x14ac:dyDescent="0.25">
      <c r="A101" t="s">
        <v>220</v>
      </c>
      <c r="B101" t="s">
        <v>221</v>
      </c>
      <c r="C101" t="s">
        <v>44</v>
      </c>
      <c r="D101" s="1">
        <v>46020.460794259256</v>
      </c>
      <c r="E101" s="1"/>
      <c r="F101" t="s">
        <v>14</v>
      </c>
      <c r="G101" t="s">
        <v>45</v>
      </c>
    </row>
    <row r="102" spans="1:11" x14ac:dyDescent="0.25">
      <c r="A102" t="s">
        <v>222</v>
      </c>
      <c r="B102" t="s">
        <v>221</v>
      </c>
      <c r="C102" t="s">
        <v>47</v>
      </c>
      <c r="D102" s="1">
        <v>46020.444335162036</v>
      </c>
      <c r="E102" s="1"/>
      <c r="F102" t="s">
        <v>39</v>
      </c>
      <c r="G102" t="s">
        <v>40</v>
      </c>
    </row>
    <row r="103" spans="1:11" x14ac:dyDescent="0.25">
      <c r="A103" t="s">
        <v>223</v>
      </c>
      <c r="B103" t="s">
        <v>221</v>
      </c>
      <c r="C103" t="s">
        <v>49</v>
      </c>
      <c r="D103" s="1">
        <v>46020.430582106485</v>
      </c>
      <c r="E103" s="1"/>
      <c r="F103" t="s">
        <v>39</v>
      </c>
      <c r="G103" t="s">
        <v>40</v>
      </c>
    </row>
    <row r="104" spans="1:11" x14ac:dyDescent="0.25">
      <c r="A104" t="s">
        <v>224</v>
      </c>
      <c r="B104" t="s">
        <v>221</v>
      </c>
      <c r="C104" t="s">
        <v>51</v>
      </c>
      <c r="D104" s="1">
        <v>46020.440316307868</v>
      </c>
      <c r="E104" s="1"/>
      <c r="F104" t="s">
        <v>39</v>
      </c>
      <c r="G104" t="s">
        <v>40</v>
      </c>
    </row>
    <row r="105" spans="1:11" x14ac:dyDescent="0.25">
      <c r="A105" t="s">
        <v>225</v>
      </c>
      <c r="B105" t="s">
        <v>221</v>
      </c>
      <c r="C105" t="s">
        <v>53</v>
      </c>
      <c r="D105" s="1">
        <v>45979.66008721065</v>
      </c>
      <c r="E105" s="1"/>
      <c r="F105" t="s">
        <v>14</v>
      </c>
      <c r="G105" t="s">
        <v>18</v>
      </c>
    </row>
    <row r="106" spans="1:11" x14ac:dyDescent="0.25">
      <c r="A106" t="s">
        <v>226</v>
      </c>
      <c r="B106" t="s">
        <v>221</v>
      </c>
      <c r="C106" t="s">
        <v>55</v>
      </c>
      <c r="D106" s="1">
        <v>46020.447281724541</v>
      </c>
      <c r="E106" s="1"/>
      <c r="F106" t="s">
        <v>39</v>
      </c>
      <c r="G106" t="s">
        <v>40</v>
      </c>
    </row>
    <row r="107" spans="1:11" x14ac:dyDescent="0.25">
      <c r="A107" t="s">
        <v>227</v>
      </c>
      <c r="B107" t="s">
        <v>221</v>
      </c>
      <c r="C107" t="s">
        <v>57</v>
      </c>
      <c r="D107" s="1">
        <v>46020.407699537034</v>
      </c>
      <c r="E107" s="1"/>
      <c r="F107" t="s">
        <v>39</v>
      </c>
      <c r="G107" t="s">
        <v>40</v>
      </c>
    </row>
    <row r="108" spans="1:11" x14ac:dyDescent="0.25">
      <c r="A108" t="s">
        <v>228</v>
      </c>
      <c r="B108" t="s">
        <v>221</v>
      </c>
      <c r="C108" t="s">
        <v>17</v>
      </c>
      <c r="D108" s="1">
        <v>46020.410944386575</v>
      </c>
      <c r="E108" s="1"/>
      <c r="F108" t="s">
        <v>39</v>
      </c>
      <c r="G108" t="s">
        <v>40</v>
      </c>
    </row>
    <row r="109" spans="1:11" x14ac:dyDescent="0.25">
      <c r="A109" t="s">
        <v>229</v>
      </c>
      <c r="B109" t="s">
        <v>221</v>
      </c>
      <c r="C109" t="s">
        <v>20</v>
      </c>
      <c r="D109" s="1">
        <v>46020.417476319446</v>
      </c>
      <c r="E109" s="1"/>
      <c r="F109" t="s">
        <v>14</v>
      </c>
      <c r="G109" t="s">
        <v>230</v>
      </c>
    </row>
    <row r="110" spans="1:11" x14ac:dyDescent="0.25">
      <c r="A110" t="s">
        <v>231</v>
      </c>
      <c r="B110" t="s">
        <v>221</v>
      </c>
      <c r="C110" t="s">
        <v>59</v>
      </c>
      <c r="D110" s="1">
        <v>46020.407070543981</v>
      </c>
      <c r="E110" s="1"/>
      <c r="F110" t="s">
        <v>39</v>
      </c>
      <c r="G110" t="s">
        <v>40</v>
      </c>
    </row>
    <row r="111" spans="1:11" x14ac:dyDescent="0.25">
      <c r="A111" t="s">
        <v>232</v>
      </c>
      <c r="B111" t="s">
        <v>221</v>
      </c>
      <c r="C111" t="s">
        <v>61</v>
      </c>
      <c r="D111" s="1">
        <v>46020.409341828701</v>
      </c>
      <c r="E111" s="1"/>
      <c r="F111" t="s">
        <v>14</v>
      </c>
      <c r="G111" t="s">
        <v>93</v>
      </c>
    </row>
    <row r="112" spans="1:11" x14ac:dyDescent="0.25">
      <c r="A112" t="s">
        <v>233</v>
      </c>
      <c r="B112" t="s">
        <v>221</v>
      </c>
      <c r="C112" t="s">
        <v>63</v>
      </c>
      <c r="D112" s="1">
        <v>46020.413605254631</v>
      </c>
      <c r="E112" s="1"/>
      <c r="F112" t="s">
        <v>39</v>
      </c>
      <c r="G112" t="s">
        <v>40</v>
      </c>
    </row>
    <row r="113" spans="1:11" x14ac:dyDescent="0.25">
      <c r="A113" t="s">
        <v>234</v>
      </c>
      <c r="B113" t="s">
        <v>221</v>
      </c>
      <c r="C113" t="s">
        <v>65</v>
      </c>
      <c r="D113" s="1">
        <v>45979.660089733799</v>
      </c>
      <c r="E113" s="1"/>
      <c r="F113" t="s">
        <v>14</v>
      </c>
      <c r="G113" t="s">
        <v>18</v>
      </c>
    </row>
    <row r="114" spans="1:11" x14ac:dyDescent="0.25">
      <c r="A114" t="s">
        <v>235</v>
      </c>
      <c r="B114" t="s">
        <v>221</v>
      </c>
      <c r="C114" t="s">
        <v>31</v>
      </c>
      <c r="D114" s="1">
        <v>46020.448534340278</v>
      </c>
      <c r="E114" s="1"/>
      <c r="F114" t="s">
        <v>39</v>
      </c>
      <c r="G114" t="s">
        <v>40</v>
      </c>
    </row>
    <row r="115" spans="1:11" x14ac:dyDescent="0.25">
      <c r="A115" t="s">
        <v>236</v>
      </c>
      <c r="B115" t="s">
        <v>221</v>
      </c>
      <c r="C115" t="s">
        <v>68</v>
      </c>
      <c r="D115" s="1">
        <v>46020.401697222223</v>
      </c>
      <c r="E115" s="1">
        <v>46020.401697222223</v>
      </c>
      <c r="F115" t="s">
        <v>69</v>
      </c>
      <c r="G115" t="s">
        <v>70</v>
      </c>
      <c r="H115">
        <v>18420</v>
      </c>
      <c r="I115">
        <v>4010</v>
      </c>
      <c r="J115">
        <v>2440</v>
      </c>
      <c r="K115">
        <v>950</v>
      </c>
    </row>
    <row r="116" spans="1:11" x14ac:dyDescent="0.25">
      <c r="A116" t="s">
        <v>237</v>
      </c>
      <c r="B116" t="s">
        <v>221</v>
      </c>
      <c r="C116" t="s">
        <v>72</v>
      </c>
      <c r="D116" s="1">
        <v>46020.416718506945</v>
      </c>
      <c r="E116" s="1"/>
      <c r="F116" t="s">
        <v>39</v>
      </c>
      <c r="G116" t="s">
        <v>40</v>
      </c>
    </row>
    <row r="117" spans="1:11" x14ac:dyDescent="0.25">
      <c r="A117" t="s">
        <v>238</v>
      </c>
      <c r="B117" t="s">
        <v>221</v>
      </c>
      <c r="C117" t="s">
        <v>74</v>
      </c>
      <c r="D117" s="1">
        <v>46020.438732974537</v>
      </c>
      <c r="E117" s="1"/>
      <c r="F117" t="s">
        <v>39</v>
      </c>
      <c r="G117" t="s">
        <v>40</v>
      </c>
    </row>
    <row r="118" spans="1:11" x14ac:dyDescent="0.25">
      <c r="A118" t="s">
        <v>239</v>
      </c>
      <c r="B118" t="s">
        <v>221</v>
      </c>
      <c r="C118" t="s">
        <v>76</v>
      </c>
      <c r="D118" s="1">
        <v>46020.433391909719</v>
      </c>
      <c r="E118" s="1"/>
      <c r="F118" t="s">
        <v>39</v>
      </c>
      <c r="G118" t="s">
        <v>40</v>
      </c>
    </row>
    <row r="119" spans="1:11" x14ac:dyDescent="0.25">
      <c r="A119" t="s">
        <v>240</v>
      </c>
      <c r="B119" t="s">
        <v>221</v>
      </c>
      <c r="C119" t="s">
        <v>78</v>
      </c>
      <c r="D119" s="1">
        <v>45979.660087546297</v>
      </c>
      <c r="E119" s="1"/>
      <c r="F119" t="s">
        <v>14</v>
      </c>
      <c r="G119" t="s">
        <v>18</v>
      </c>
    </row>
    <row r="120" spans="1:11" x14ac:dyDescent="0.25">
      <c r="A120" t="s">
        <v>241</v>
      </c>
      <c r="B120" t="s">
        <v>221</v>
      </c>
      <c r="C120" t="s">
        <v>80</v>
      </c>
      <c r="D120" s="1">
        <v>46020.453728113425</v>
      </c>
      <c r="E120" s="1"/>
      <c r="F120" t="s">
        <v>39</v>
      </c>
      <c r="G120" t="s">
        <v>40</v>
      </c>
    </row>
    <row r="121" spans="1:11" x14ac:dyDescent="0.25">
      <c r="A121" t="s">
        <v>242</v>
      </c>
      <c r="B121" t="s">
        <v>221</v>
      </c>
      <c r="C121" t="s">
        <v>82</v>
      </c>
      <c r="D121" s="1">
        <v>46020.454654618057</v>
      </c>
      <c r="E121" s="1"/>
      <c r="F121" t="s">
        <v>39</v>
      </c>
      <c r="G121" t="s">
        <v>40</v>
      </c>
    </row>
    <row r="122" spans="1:11" x14ac:dyDescent="0.25">
      <c r="A122" t="s">
        <v>243</v>
      </c>
      <c r="B122" t="s">
        <v>221</v>
      </c>
      <c r="C122" t="s">
        <v>84</v>
      </c>
      <c r="D122" s="1">
        <v>45979.660089861114</v>
      </c>
      <c r="E122" s="1"/>
      <c r="F122" t="s">
        <v>14</v>
      </c>
      <c r="G122" t="s">
        <v>18</v>
      </c>
    </row>
    <row r="123" spans="1:11" x14ac:dyDescent="0.25">
      <c r="A123" t="s">
        <v>244</v>
      </c>
      <c r="B123" t="s">
        <v>221</v>
      </c>
      <c r="C123" t="s">
        <v>86</v>
      </c>
      <c r="D123" s="1">
        <v>46020.456818437502</v>
      </c>
      <c r="E123" s="1"/>
      <c r="F123" t="s">
        <v>39</v>
      </c>
      <c r="G123" t="s">
        <v>40</v>
      </c>
    </row>
    <row r="124" spans="1:11" x14ac:dyDescent="0.25">
      <c r="A124" t="s">
        <v>245</v>
      </c>
      <c r="B124" t="s">
        <v>221</v>
      </c>
      <c r="C124" t="s">
        <v>88</v>
      </c>
      <c r="D124" s="1">
        <v>46020.434932037038</v>
      </c>
      <c r="E124" s="1"/>
      <c r="F124" t="s">
        <v>39</v>
      </c>
      <c r="G124" t="s">
        <v>40</v>
      </c>
    </row>
    <row r="125" spans="1:11" x14ac:dyDescent="0.25">
      <c r="A125" t="s">
        <v>246</v>
      </c>
      <c r="B125" t="s">
        <v>221</v>
      </c>
      <c r="C125" t="s">
        <v>90</v>
      </c>
      <c r="D125" s="1">
        <v>46020.440933171296</v>
      </c>
      <c r="E125" s="1"/>
      <c r="F125" t="s">
        <v>39</v>
      </c>
      <c r="G125" t="s">
        <v>40</v>
      </c>
    </row>
    <row r="126" spans="1:11" x14ac:dyDescent="0.25">
      <c r="A126" t="s">
        <v>247</v>
      </c>
      <c r="B126" t="s">
        <v>221</v>
      </c>
      <c r="C126" t="s">
        <v>92</v>
      </c>
      <c r="D126" s="1">
        <v>46020.423184502317</v>
      </c>
      <c r="E126" s="1">
        <v>45977.494373587964</v>
      </c>
      <c r="F126" t="s">
        <v>14</v>
      </c>
      <c r="G126" t="s">
        <v>93</v>
      </c>
      <c r="H126">
        <v>4430</v>
      </c>
      <c r="I126">
        <v>13650</v>
      </c>
      <c r="J126">
        <v>3810</v>
      </c>
      <c r="K126">
        <v>2190</v>
      </c>
    </row>
    <row r="127" spans="1:11" x14ac:dyDescent="0.25">
      <c r="A127" t="s">
        <v>248</v>
      </c>
      <c r="B127" t="s">
        <v>221</v>
      </c>
      <c r="C127" t="s">
        <v>95</v>
      </c>
      <c r="D127" s="1">
        <v>46020.395627812497</v>
      </c>
      <c r="E127" s="1">
        <v>46013.422730787039</v>
      </c>
      <c r="F127" t="s">
        <v>39</v>
      </c>
      <c r="G127" t="s">
        <v>40</v>
      </c>
      <c r="H127">
        <v>15650</v>
      </c>
      <c r="I127">
        <v>3660</v>
      </c>
      <c r="J127">
        <v>2190</v>
      </c>
      <c r="K127">
        <v>4440</v>
      </c>
    </row>
    <row r="128" spans="1:11" x14ac:dyDescent="0.25">
      <c r="A128" t="s">
        <v>249</v>
      </c>
      <c r="B128" t="s">
        <v>221</v>
      </c>
      <c r="C128" t="s">
        <v>97</v>
      </c>
      <c r="D128" s="1">
        <v>46020.41164175926</v>
      </c>
      <c r="E128" s="1"/>
      <c r="F128" t="s">
        <v>39</v>
      </c>
      <c r="G128" t="s">
        <v>40</v>
      </c>
    </row>
    <row r="129" spans="1:11" x14ac:dyDescent="0.25">
      <c r="A129" t="s">
        <v>250</v>
      </c>
      <c r="B129" t="s">
        <v>221</v>
      </c>
      <c r="C129" t="s">
        <v>22</v>
      </c>
      <c r="D129" s="1">
        <v>45979.631069895833</v>
      </c>
      <c r="E129" s="1">
        <v>45979.631069895833</v>
      </c>
      <c r="F129" t="s">
        <v>69</v>
      </c>
      <c r="G129" t="s">
        <v>70</v>
      </c>
      <c r="H129">
        <v>10450</v>
      </c>
      <c r="I129">
        <v>3800</v>
      </c>
      <c r="J129">
        <v>2560</v>
      </c>
      <c r="K129">
        <v>3320</v>
      </c>
    </row>
    <row r="130" spans="1:11" x14ac:dyDescent="0.25">
      <c r="A130" t="s">
        <v>251</v>
      </c>
      <c r="B130" t="s">
        <v>221</v>
      </c>
      <c r="C130" t="s">
        <v>100</v>
      </c>
      <c r="D130" s="1">
        <v>46020.422467118056</v>
      </c>
      <c r="E130" s="1">
        <v>45978.034179594906</v>
      </c>
      <c r="F130" t="s">
        <v>14</v>
      </c>
      <c r="G130" t="s">
        <v>93</v>
      </c>
      <c r="H130">
        <v>14930</v>
      </c>
      <c r="I130">
        <v>3810</v>
      </c>
      <c r="J130">
        <v>2210</v>
      </c>
      <c r="K130">
        <v>2760</v>
      </c>
    </row>
    <row r="131" spans="1:11" x14ac:dyDescent="0.25">
      <c r="A131" t="s">
        <v>252</v>
      </c>
      <c r="B131" t="s">
        <v>221</v>
      </c>
      <c r="C131" t="s">
        <v>102</v>
      </c>
      <c r="D131" s="1">
        <v>46020.399507581016</v>
      </c>
      <c r="E131" s="1">
        <v>46013.426120960648</v>
      </c>
      <c r="F131" t="s">
        <v>14</v>
      </c>
      <c r="G131" t="s">
        <v>253</v>
      </c>
      <c r="H131">
        <v>16510</v>
      </c>
      <c r="I131">
        <v>3660</v>
      </c>
      <c r="J131">
        <v>2210</v>
      </c>
      <c r="K131">
        <v>2800</v>
      </c>
    </row>
    <row r="132" spans="1:11" x14ac:dyDescent="0.25">
      <c r="A132" t="s">
        <v>254</v>
      </c>
      <c r="B132" t="s">
        <v>221</v>
      </c>
      <c r="C132" t="s">
        <v>104</v>
      </c>
      <c r="D132" s="1">
        <v>46020.415788113423</v>
      </c>
      <c r="E132" s="1"/>
      <c r="F132" t="s">
        <v>39</v>
      </c>
      <c r="G132" t="s">
        <v>40</v>
      </c>
    </row>
    <row r="133" spans="1:11" x14ac:dyDescent="0.25">
      <c r="A133" t="s">
        <v>255</v>
      </c>
      <c r="B133" t="s">
        <v>221</v>
      </c>
      <c r="C133" t="s">
        <v>33</v>
      </c>
      <c r="D133" s="1">
        <v>46020.459053136576</v>
      </c>
      <c r="E133" s="1"/>
      <c r="F133" t="s">
        <v>39</v>
      </c>
      <c r="G133" t="s">
        <v>40</v>
      </c>
    </row>
    <row r="134" spans="1:11" x14ac:dyDescent="0.25">
      <c r="A134" t="s">
        <v>256</v>
      </c>
      <c r="B134" t="s">
        <v>221</v>
      </c>
      <c r="C134" t="s">
        <v>107</v>
      </c>
      <c r="D134" s="1">
        <v>46020.445261030094</v>
      </c>
      <c r="E134" s="1"/>
      <c r="F134" t="s">
        <v>39</v>
      </c>
      <c r="G134" t="s">
        <v>40</v>
      </c>
    </row>
    <row r="135" spans="1:11" x14ac:dyDescent="0.25">
      <c r="A135" t="s">
        <v>257</v>
      </c>
      <c r="B135" t="s">
        <v>221</v>
      </c>
      <c r="C135" t="s">
        <v>109</v>
      </c>
      <c r="D135" s="1">
        <v>46020.455273113424</v>
      </c>
      <c r="E135" s="1"/>
      <c r="F135" t="s">
        <v>39</v>
      </c>
      <c r="G135" t="s">
        <v>40</v>
      </c>
    </row>
    <row r="136" spans="1:11" x14ac:dyDescent="0.25">
      <c r="A136" t="s">
        <v>258</v>
      </c>
      <c r="B136" t="s">
        <v>221</v>
      </c>
      <c r="C136" t="s">
        <v>111</v>
      </c>
      <c r="D136" s="1">
        <v>46020.453110127317</v>
      </c>
      <c r="E136" s="1"/>
      <c r="F136" t="s">
        <v>39</v>
      </c>
      <c r="G136" t="s">
        <v>40</v>
      </c>
    </row>
    <row r="137" spans="1:11" x14ac:dyDescent="0.25">
      <c r="A137" t="s">
        <v>259</v>
      </c>
      <c r="B137" t="s">
        <v>221</v>
      </c>
      <c r="C137" t="s">
        <v>113</v>
      </c>
      <c r="D137" s="1">
        <v>46020.455891006946</v>
      </c>
      <c r="E137" s="1"/>
      <c r="F137" t="s">
        <v>39</v>
      </c>
      <c r="G137" t="s">
        <v>40</v>
      </c>
    </row>
    <row r="138" spans="1:11" x14ac:dyDescent="0.25">
      <c r="A138" t="s">
        <v>260</v>
      </c>
      <c r="B138" t="s">
        <v>221</v>
      </c>
      <c r="C138" t="s">
        <v>115</v>
      </c>
      <c r="D138" s="1">
        <v>46020.432138090277</v>
      </c>
      <c r="E138" s="1"/>
      <c r="F138" t="s">
        <v>39</v>
      </c>
      <c r="G138" t="s">
        <v>40</v>
      </c>
    </row>
    <row r="139" spans="1:11" x14ac:dyDescent="0.25">
      <c r="A139" t="s">
        <v>261</v>
      </c>
      <c r="B139" t="s">
        <v>221</v>
      </c>
      <c r="C139" t="s">
        <v>117</v>
      </c>
      <c r="D139" s="1">
        <v>46020.45196056713</v>
      </c>
      <c r="E139" s="1"/>
      <c r="F139" t="s">
        <v>14</v>
      </c>
      <c r="G139" t="s">
        <v>118</v>
      </c>
    </row>
    <row r="140" spans="1:11" x14ac:dyDescent="0.25">
      <c r="A140" t="s">
        <v>262</v>
      </c>
      <c r="B140" t="s">
        <v>221</v>
      </c>
      <c r="C140" t="s">
        <v>120</v>
      </c>
      <c r="D140" s="1">
        <v>46020.442170104165</v>
      </c>
      <c r="E140" s="1"/>
      <c r="F140" t="s">
        <v>39</v>
      </c>
      <c r="G140" t="s">
        <v>40</v>
      </c>
    </row>
    <row r="141" spans="1:11" x14ac:dyDescent="0.25">
      <c r="A141" t="s">
        <v>263</v>
      </c>
      <c r="B141" t="s">
        <v>221</v>
      </c>
      <c r="C141" t="s">
        <v>122</v>
      </c>
      <c r="D141" s="1">
        <v>46020.428713981484</v>
      </c>
      <c r="E141" s="1"/>
      <c r="F141" t="s">
        <v>39</v>
      </c>
      <c r="G141" t="s">
        <v>40</v>
      </c>
    </row>
    <row r="142" spans="1:11" x14ac:dyDescent="0.25">
      <c r="A142" t="s">
        <v>264</v>
      </c>
      <c r="B142" t="s">
        <v>221</v>
      </c>
      <c r="C142" t="s">
        <v>124</v>
      </c>
      <c r="D142" s="1">
        <v>46020.434306516203</v>
      </c>
      <c r="E142" s="1"/>
      <c r="F142" t="s">
        <v>39</v>
      </c>
      <c r="G142" t="s">
        <v>40</v>
      </c>
    </row>
    <row r="143" spans="1:11" x14ac:dyDescent="0.25">
      <c r="A143" t="s">
        <v>265</v>
      </c>
      <c r="B143" t="s">
        <v>221</v>
      </c>
      <c r="C143" t="s">
        <v>126</v>
      </c>
      <c r="D143" s="1">
        <v>46020.400302534719</v>
      </c>
      <c r="E143" s="1">
        <v>46020.400302534719</v>
      </c>
      <c r="F143" t="s">
        <v>69</v>
      </c>
      <c r="G143" t="s">
        <v>70</v>
      </c>
      <c r="H143">
        <v>22540</v>
      </c>
      <c r="I143">
        <v>4010</v>
      </c>
      <c r="J143">
        <v>3940</v>
      </c>
      <c r="K143">
        <v>2080</v>
      </c>
    </row>
    <row r="144" spans="1:11" x14ac:dyDescent="0.25">
      <c r="A144" t="s">
        <v>266</v>
      </c>
      <c r="B144" t="s">
        <v>221</v>
      </c>
      <c r="C144" t="s">
        <v>128</v>
      </c>
      <c r="D144" s="1">
        <v>46020.427811273148</v>
      </c>
      <c r="E144" s="1"/>
      <c r="F144" t="s">
        <v>39</v>
      </c>
      <c r="G144" t="s">
        <v>40</v>
      </c>
    </row>
    <row r="145" spans="1:11" x14ac:dyDescent="0.25">
      <c r="A145" t="s">
        <v>267</v>
      </c>
      <c r="B145" t="s">
        <v>221</v>
      </c>
      <c r="C145" t="s">
        <v>130</v>
      </c>
      <c r="D145" s="1">
        <v>46020.459681180553</v>
      </c>
      <c r="E145" s="1"/>
      <c r="F145" t="s">
        <v>14</v>
      </c>
      <c r="G145" t="s">
        <v>131</v>
      </c>
    </row>
    <row r="146" spans="1:11" x14ac:dyDescent="0.25">
      <c r="A146" t="s">
        <v>268</v>
      </c>
      <c r="B146" t="s">
        <v>221</v>
      </c>
      <c r="C146" t="s">
        <v>133</v>
      </c>
      <c r="D146" s="1">
        <v>46020.450280081015</v>
      </c>
      <c r="E146" s="1"/>
      <c r="F146" t="s">
        <v>39</v>
      </c>
      <c r="G146" t="s">
        <v>40</v>
      </c>
    </row>
    <row r="147" spans="1:11" x14ac:dyDescent="0.25">
      <c r="A147" t="s">
        <v>269</v>
      </c>
      <c r="B147" t="s">
        <v>221</v>
      </c>
      <c r="C147" t="s">
        <v>135</v>
      </c>
      <c r="D147" s="1">
        <v>46020.425288553241</v>
      </c>
      <c r="E147" s="1"/>
      <c r="F147" t="s">
        <v>39</v>
      </c>
      <c r="G147" t="s">
        <v>40</v>
      </c>
    </row>
    <row r="148" spans="1:11" x14ac:dyDescent="0.25">
      <c r="A148" t="s">
        <v>270</v>
      </c>
      <c r="B148" t="s">
        <v>221</v>
      </c>
      <c r="C148" t="s">
        <v>35</v>
      </c>
      <c r="D148" s="1">
        <v>46020.418889270833</v>
      </c>
      <c r="E148" s="1"/>
      <c r="F148" t="s">
        <v>14</v>
      </c>
      <c r="G148" t="s">
        <v>36</v>
      </c>
    </row>
    <row r="149" spans="1:11" x14ac:dyDescent="0.25">
      <c r="A149" t="s">
        <v>271</v>
      </c>
      <c r="B149" t="s">
        <v>221</v>
      </c>
      <c r="C149" t="s">
        <v>137</v>
      </c>
      <c r="D149" s="1">
        <v>46020.429648078702</v>
      </c>
      <c r="E149" s="1"/>
      <c r="F149" t="s">
        <v>39</v>
      </c>
      <c r="G149" t="s">
        <v>40</v>
      </c>
    </row>
    <row r="150" spans="1:11" x14ac:dyDescent="0.25">
      <c r="A150" t="s">
        <v>272</v>
      </c>
      <c r="B150" t="s">
        <v>221</v>
      </c>
      <c r="C150" t="s">
        <v>139</v>
      </c>
      <c r="D150" s="1">
        <v>46020.44635554398</v>
      </c>
      <c r="E150" s="1"/>
      <c r="F150" t="s">
        <v>14</v>
      </c>
      <c r="G150" t="s">
        <v>93</v>
      </c>
    </row>
    <row r="151" spans="1:11" x14ac:dyDescent="0.25">
      <c r="A151" t="s">
        <v>273</v>
      </c>
      <c r="B151" t="s">
        <v>221</v>
      </c>
      <c r="C151" t="s">
        <v>141</v>
      </c>
      <c r="D151" s="1">
        <v>46020.436853460647</v>
      </c>
      <c r="E151" s="1"/>
      <c r="F151" t="s">
        <v>39</v>
      </c>
      <c r="G151" t="s">
        <v>40</v>
      </c>
    </row>
    <row r="152" spans="1:11" x14ac:dyDescent="0.25">
      <c r="A152" t="s">
        <v>274</v>
      </c>
      <c r="B152" t="s">
        <v>221</v>
      </c>
      <c r="C152" t="s">
        <v>143</v>
      </c>
      <c r="D152" s="1">
        <v>46020.426856319442</v>
      </c>
      <c r="E152" s="1"/>
      <c r="F152" t="s">
        <v>39</v>
      </c>
      <c r="G152" t="s">
        <v>40</v>
      </c>
    </row>
    <row r="153" spans="1:11" x14ac:dyDescent="0.25">
      <c r="A153" t="s">
        <v>275</v>
      </c>
      <c r="B153" t="s">
        <v>221</v>
      </c>
      <c r="C153" t="s">
        <v>145</v>
      </c>
      <c r="D153" s="1">
        <v>46020.437795231483</v>
      </c>
      <c r="E153" s="1"/>
      <c r="F153" t="s">
        <v>39</v>
      </c>
      <c r="G153" t="s">
        <v>40</v>
      </c>
    </row>
    <row r="154" spans="1:11" x14ac:dyDescent="0.25">
      <c r="A154" t="s">
        <v>276</v>
      </c>
      <c r="B154" t="s">
        <v>221</v>
      </c>
      <c r="C154" t="s">
        <v>147</v>
      </c>
      <c r="D154" s="1">
        <v>46020.408318113427</v>
      </c>
      <c r="E154" s="1"/>
      <c r="F154" t="s">
        <v>39</v>
      </c>
      <c r="G154" t="s">
        <v>40</v>
      </c>
    </row>
    <row r="155" spans="1:11" x14ac:dyDescent="0.25">
      <c r="A155" t="s">
        <v>277</v>
      </c>
      <c r="B155" t="s">
        <v>221</v>
      </c>
      <c r="C155" t="s">
        <v>149</v>
      </c>
      <c r="D155" s="1">
        <v>46020.457436574077</v>
      </c>
      <c r="E155" s="1"/>
      <c r="F155" t="s">
        <v>39</v>
      </c>
      <c r="G155" t="s">
        <v>40</v>
      </c>
    </row>
    <row r="156" spans="1:11" x14ac:dyDescent="0.25">
      <c r="A156" t="s">
        <v>278</v>
      </c>
      <c r="B156" t="s">
        <v>221</v>
      </c>
      <c r="C156" t="s">
        <v>151</v>
      </c>
      <c r="D156" s="1">
        <v>46020.398517395835</v>
      </c>
      <c r="E156" s="1">
        <v>46020.398517395835</v>
      </c>
      <c r="F156" t="s">
        <v>69</v>
      </c>
      <c r="G156" t="s">
        <v>70</v>
      </c>
      <c r="H156">
        <v>11650</v>
      </c>
      <c r="I156">
        <v>4010</v>
      </c>
      <c r="J156">
        <v>2360</v>
      </c>
      <c r="K156">
        <v>3730</v>
      </c>
    </row>
    <row r="157" spans="1:11" x14ac:dyDescent="0.25">
      <c r="A157" t="s">
        <v>279</v>
      </c>
      <c r="B157" t="s">
        <v>221</v>
      </c>
      <c r="C157" t="s">
        <v>153</v>
      </c>
      <c r="D157" s="1">
        <v>46020.426231157406</v>
      </c>
      <c r="E157" s="1"/>
      <c r="F157" t="s">
        <v>39</v>
      </c>
      <c r="G157" t="s">
        <v>40</v>
      </c>
    </row>
    <row r="158" spans="1:11" x14ac:dyDescent="0.25">
      <c r="A158" t="s">
        <v>280</v>
      </c>
      <c r="B158" t="s">
        <v>221</v>
      </c>
      <c r="C158" t="s">
        <v>155</v>
      </c>
      <c r="D158" s="1">
        <v>46020.421750972222</v>
      </c>
      <c r="E158" s="1">
        <v>46020.421750972222</v>
      </c>
      <c r="F158" t="s">
        <v>69</v>
      </c>
      <c r="G158" t="s">
        <v>70</v>
      </c>
      <c r="H158">
        <v>13650</v>
      </c>
      <c r="I158">
        <v>4010</v>
      </c>
      <c r="J158">
        <v>2360</v>
      </c>
      <c r="K158">
        <v>5030</v>
      </c>
    </row>
    <row r="159" spans="1:11" x14ac:dyDescent="0.25">
      <c r="A159" t="s">
        <v>281</v>
      </c>
      <c r="B159" t="s">
        <v>221</v>
      </c>
      <c r="C159" t="s">
        <v>157</v>
      </c>
      <c r="D159" s="1">
        <v>46020.406533819441</v>
      </c>
      <c r="E159" s="1">
        <v>46020.406533819441</v>
      </c>
      <c r="F159" t="s">
        <v>69</v>
      </c>
      <c r="G159" t="s">
        <v>70</v>
      </c>
      <c r="H159">
        <v>27040</v>
      </c>
      <c r="I159">
        <v>4010</v>
      </c>
      <c r="J159">
        <v>3940</v>
      </c>
      <c r="K159">
        <v>2650</v>
      </c>
    </row>
    <row r="160" spans="1:11" x14ac:dyDescent="0.25">
      <c r="A160" t="s">
        <v>282</v>
      </c>
      <c r="B160" t="s">
        <v>221</v>
      </c>
      <c r="C160" t="s">
        <v>159</v>
      </c>
      <c r="D160" s="1">
        <v>46020.40598984954</v>
      </c>
      <c r="E160" s="1">
        <v>46020.40598984954</v>
      </c>
      <c r="F160" t="s">
        <v>69</v>
      </c>
      <c r="G160" t="s">
        <v>70</v>
      </c>
      <c r="H160">
        <v>19940</v>
      </c>
      <c r="I160">
        <v>4010</v>
      </c>
      <c r="J160">
        <v>4940</v>
      </c>
    </row>
    <row r="161" spans="1:11" x14ac:dyDescent="0.25">
      <c r="A161" t="s">
        <v>283</v>
      </c>
      <c r="B161" t="s">
        <v>221</v>
      </c>
      <c r="C161" t="s">
        <v>161</v>
      </c>
      <c r="D161" s="1">
        <v>46020.447900069441</v>
      </c>
      <c r="E161" s="1"/>
      <c r="F161" t="s">
        <v>39</v>
      </c>
      <c r="G161" t="s">
        <v>40</v>
      </c>
    </row>
    <row r="162" spans="1:11" x14ac:dyDescent="0.25">
      <c r="A162" t="s">
        <v>284</v>
      </c>
      <c r="B162" t="s">
        <v>221</v>
      </c>
      <c r="C162" t="s">
        <v>163</v>
      </c>
      <c r="D162" s="1">
        <v>46020.452492835648</v>
      </c>
      <c r="E162" s="1"/>
      <c r="F162" t="s">
        <v>39</v>
      </c>
      <c r="G162" t="s">
        <v>40</v>
      </c>
    </row>
    <row r="163" spans="1:11" x14ac:dyDescent="0.25">
      <c r="A163" t="s">
        <v>285</v>
      </c>
      <c r="B163" t="s">
        <v>221</v>
      </c>
      <c r="C163" t="s">
        <v>165</v>
      </c>
      <c r="D163" s="1">
        <v>46020.451206712962</v>
      </c>
      <c r="E163" s="1"/>
      <c r="F163" t="s">
        <v>39</v>
      </c>
      <c r="G163" t="s">
        <v>40</v>
      </c>
    </row>
    <row r="164" spans="1:11" x14ac:dyDescent="0.25">
      <c r="A164" t="s">
        <v>286</v>
      </c>
      <c r="B164" t="s">
        <v>221</v>
      </c>
      <c r="C164" t="s">
        <v>167</v>
      </c>
      <c r="D164" s="1">
        <v>45979.660086539348</v>
      </c>
      <c r="E164" s="1"/>
      <c r="F164" t="s">
        <v>14</v>
      </c>
      <c r="G164" t="s">
        <v>18</v>
      </c>
    </row>
    <row r="165" spans="1:11" x14ac:dyDescent="0.25">
      <c r="A165" t="s">
        <v>287</v>
      </c>
      <c r="B165" t="s">
        <v>221</v>
      </c>
      <c r="C165" t="s">
        <v>169</v>
      </c>
      <c r="D165" s="1">
        <v>45979.655096076393</v>
      </c>
      <c r="E165" s="1"/>
      <c r="F165" t="s">
        <v>14</v>
      </c>
      <c r="G165" t="s">
        <v>170</v>
      </c>
    </row>
    <row r="166" spans="1:11" x14ac:dyDescent="0.25">
      <c r="A166" t="s">
        <v>288</v>
      </c>
      <c r="B166" t="s">
        <v>221</v>
      </c>
      <c r="C166" t="s">
        <v>172</v>
      </c>
      <c r="D166" s="1">
        <v>45979.660086203701</v>
      </c>
      <c r="E166" s="1"/>
      <c r="F166" t="s">
        <v>14</v>
      </c>
      <c r="G166" t="s">
        <v>18</v>
      </c>
    </row>
    <row r="167" spans="1:11" x14ac:dyDescent="0.25">
      <c r="A167" t="s">
        <v>289</v>
      </c>
      <c r="B167" t="s">
        <v>221</v>
      </c>
      <c r="C167" t="s">
        <v>174</v>
      </c>
      <c r="D167" s="1">
        <v>45979.660089409721</v>
      </c>
      <c r="E167" s="1"/>
      <c r="F167" t="s">
        <v>14</v>
      </c>
      <c r="G167" t="s">
        <v>18</v>
      </c>
    </row>
    <row r="168" spans="1:11" x14ac:dyDescent="0.25">
      <c r="A168" t="s">
        <v>290</v>
      </c>
      <c r="B168" t="s">
        <v>221</v>
      </c>
      <c r="C168" t="s">
        <v>176</v>
      </c>
      <c r="D168" s="1">
        <v>45979.652004560186</v>
      </c>
      <c r="E168" s="1"/>
      <c r="F168" t="s">
        <v>14</v>
      </c>
      <c r="G168" t="s">
        <v>177</v>
      </c>
    </row>
    <row r="169" spans="1:11" x14ac:dyDescent="0.25">
      <c r="A169" t="s">
        <v>291</v>
      </c>
      <c r="B169" t="s">
        <v>221</v>
      </c>
      <c r="C169" t="s">
        <v>179</v>
      </c>
      <c r="D169" s="1">
        <v>45979.660089340279</v>
      </c>
      <c r="E169" s="1"/>
      <c r="F169" t="s">
        <v>14</v>
      </c>
      <c r="G169" t="s">
        <v>18</v>
      </c>
    </row>
    <row r="170" spans="1:11" x14ac:dyDescent="0.25">
      <c r="A170" t="s">
        <v>292</v>
      </c>
      <c r="B170" t="s">
        <v>221</v>
      </c>
      <c r="C170" t="s">
        <v>181</v>
      </c>
      <c r="D170" s="1">
        <v>45979.653228171293</v>
      </c>
      <c r="E170" s="1"/>
      <c r="F170" t="s">
        <v>39</v>
      </c>
      <c r="G170" t="s">
        <v>40</v>
      </c>
    </row>
    <row r="171" spans="1:11" x14ac:dyDescent="0.25">
      <c r="A171" t="s">
        <v>293</v>
      </c>
      <c r="B171" t="s">
        <v>221</v>
      </c>
      <c r="C171" t="s">
        <v>183</v>
      </c>
      <c r="D171" s="1">
        <v>46020.396542314818</v>
      </c>
      <c r="E171" s="1">
        <v>46020.396542314818</v>
      </c>
      <c r="F171" t="s">
        <v>69</v>
      </c>
      <c r="G171" t="s">
        <v>70</v>
      </c>
      <c r="H171">
        <v>9730</v>
      </c>
      <c r="I171">
        <v>4010</v>
      </c>
      <c r="J171">
        <v>2760</v>
      </c>
      <c r="K171">
        <v>950</v>
      </c>
    </row>
    <row r="172" spans="1:11" x14ac:dyDescent="0.25">
      <c r="A172" t="s">
        <v>294</v>
      </c>
      <c r="B172" t="s">
        <v>221</v>
      </c>
      <c r="C172" t="s">
        <v>185</v>
      </c>
      <c r="D172" s="1">
        <v>46020.441550798612</v>
      </c>
      <c r="E172" s="1"/>
      <c r="F172" t="s">
        <v>39</v>
      </c>
      <c r="G172" t="s">
        <v>40</v>
      </c>
    </row>
    <row r="173" spans="1:11" x14ac:dyDescent="0.25">
      <c r="A173" t="s">
        <v>295</v>
      </c>
      <c r="B173" t="s">
        <v>221</v>
      </c>
      <c r="C173" t="s">
        <v>187</v>
      </c>
      <c r="D173" s="1">
        <v>46020.443716400463</v>
      </c>
      <c r="E173" s="1"/>
      <c r="F173" t="s">
        <v>39</v>
      </c>
      <c r="G173" t="s">
        <v>40</v>
      </c>
    </row>
    <row r="174" spans="1:11" x14ac:dyDescent="0.25">
      <c r="A174" t="s">
        <v>296</v>
      </c>
      <c r="B174" t="s">
        <v>221</v>
      </c>
      <c r="C174" t="s">
        <v>189</v>
      </c>
      <c r="D174" s="1">
        <v>45979.660087800927</v>
      </c>
      <c r="E174" s="1"/>
      <c r="F174" t="s">
        <v>14</v>
      </c>
      <c r="G174" t="s">
        <v>18</v>
      </c>
    </row>
    <row r="175" spans="1:11" x14ac:dyDescent="0.25">
      <c r="A175" t="s">
        <v>297</v>
      </c>
      <c r="B175" t="s">
        <v>221</v>
      </c>
      <c r="C175" t="s">
        <v>191</v>
      </c>
      <c r="D175" s="1">
        <v>46020.400845208336</v>
      </c>
      <c r="E175" s="1">
        <v>46020.400845208336</v>
      </c>
      <c r="F175" t="s">
        <v>69</v>
      </c>
      <c r="G175" t="s">
        <v>70</v>
      </c>
      <c r="H175">
        <v>9730</v>
      </c>
      <c r="I175">
        <v>4010</v>
      </c>
      <c r="J175">
        <v>2760</v>
      </c>
      <c r="K175">
        <v>340</v>
      </c>
    </row>
    <row r="176" spans="1:11" x14ac:dyDescent="0.25">
      <c r="A176" t="s">
        <v>298</v>
      </c>
      <c r="B176" t="s">
        <v>221</v>
      </c>
      <c r="C176" t="s">
        <v>193</v>
      </c>
      <c r="D176" s="1">
        <v>45979.660087905089</v>
      </c>
      <c r="E176" s="1"/>
      <c r="F176" t="s">
        <v>14</v>
      </c>
      <c r="G176" t="s">
        <v>18</v>
      </c>
    </row>
    <row r="177" spans="1:11" x14ac:dyDescent="0.25">
      <c r="A177" t="s">
        <v>299</v>
      </c>
      <c r="B177" t="s">
        <v>221</v>
      </c>
      <c r="C177" t="s">
        <v>195</v>
      </c>
      <c r="D177" s="1">
        <v>46020.401425879631</v>
      </c>
      <c r="E177" s="1">
        <v>46020.401425879631</v>
      </c>
      <c r="F177" t="s">
        <v>69</v>
      </c>
      <c r="G177" t="s">
        <v>70</v>
      </c>
      <c r="H177">
        <v>9730</v>
      </c>
      <c r="I177">
        <v>4010</v>
      </c>
      <c r="J177">
        <v>2760</v>
      </c>
      <c r="K177">
        <v>200</v>
      </c>
    </row>
    <row r="178" spans="1:11" x14ac:dyDescent="0.25">
      <c r="A178" t="s">
        <v>300</v>
      </c>
      <c r="B178" t="s">
        <v>221</v>
      </c>
      <c r="C178" t="s">
        <v>197</v>
      </c>
      <c r="D178" s="1">
        <v>46020.41267020833</v>
      </c>
      <c r="E178" s="1"/>
      <c r="F178" t="s">
        <v>39</v>
      </c>
      <c r="G178" t="s">
        <v>40</v>
      </c>
    </row>
    <row r="179" spans="1:11" x14ac:dyDescent="0.25">
      <c r="A179" t="s">
        <v>301</v>
      </c>
      <c r="B179" t="s">
        <v>221</v>
      </c>
      <c r="C179" t="s">
        <v>199</v>
      </c>
      <c r="D179" s="1">
        <v>46020.431203136577</v>
      </c>
      <c r="E179" s="1"/>
      <c r="F179" t="s">
        <v>39</v>
      </c>
      <c r="G179" t="s">
        <v>40</v>
      </c>
    </row>
    <row r="180" spans="1:11" x14ac:dyDescent="0.25">
      <c r="A180" t="s">
        <v>302</v>
      </c>
      <c r="B180" t="s">
        <v>221</v>
      </c>
      <c r="C180" t="s">
        <v>201</v>
      </c>
      <c r="D180" s="1">
        <v>46020.410100046298</v>
      </c>
      <c r="E180" s="1"/>
      <c r="F180" t="s">
        <v>14</v>
      </c>
      <c r="G180" t="s">
        <v>202</v>
      </c>
    </row>
    <row r="181" spans="1:11" x14ac:dyDescent="0.25">
      <c r="A181" t="s">
        <v>303</v>
      </c>
      <c r="B181" t="s">
        <v>221</v>
      </c>
      <c r="C181" t="s">
        <v>204</v>
      </c>
      <c r="D181" s="1">
        <v>46020.443097256946</v>
      </c>
      <c r="E181" s="1"/>
      <c r="F181" t="s">
        <v>39</v>
      </c>
      <c r="G181" t="s">
        <v>40</v>
      </c>
    </row>
    <row r="182" spans="1:11" x14ac:dyDescent="0.25">
      <c r="A182" t="s">
        <v>304</v>
      </c>
      <c r="B182" t="s">
        <v>221</v>
      </c>
      <c r="C182" t="s">
        <v>206</v>
      </c>
      <c r="D182" s="1">
        <v>46020.458363425925</v>
      </c>
      <c r="E182" s="1"/>
      <c r="F182" t="s">
        <v>39</v>
      </c>
      <c r="G182" t="s">
        <v>40</v>
      </c>
    </row>
    <row r="183" spans="1:11" x14ac:dyDescent="0.25">
      <c r="A183" t="s">
        <v>305</v>
      </c>
      <c r="B183" t="s">
        <v>221</v>
      </c>
      <c r="C183" t="s">
        <v>208</v>
      </c>
      <c r="D183" s="1">
        <v>46020.456200659719</v>
      </c>
      <c r="E183" s="1"/>
      <c r="F183" t="s">
        <v>39</v>
      </c>
      <c r="G183" t="s">
        <v>40</v>
      </c>
    </row>
    <row r="184" spans="1:11" x14ac:dyDescent="0.25">
      <c r="A184" t="s">
        <v>306</v>
      </c>
      <c r="B184" t="s">
        <v>221</v>
      </c>
      <c r="C184" t="s">
        <v>210</v>
      </c>
      <c r="D184" s="1">
        <v>46020.436006828706</v>
      </c>
      <c r="E184" s="1"/>
      <c r="F184" t="s">
        <v>14</v>
      </c>
      <c r="G184" t="s">
        <v>211</v>
      </c>
    </row>
    <row r="185" spans="1:11" x14ac:dyDescent="0.25">
      <c r="A185" t="s">
        <v>307</v>
      </c>
      <c r="B185" t="s">
        <v>221</v>
      </c>
      <c r="C185" t="s">
        <v>213</v>
      </c>
      <c r="D185" s="1">
        <v>46020.432765578706</v>
      </c>
      <c r="E185" s="1"/>
      <c r="F185" t="s">
        <v>39</v>
      </c>
      <c r="G185" t="s">
        <v>40</v>
      </c>
    </row>
    <row r="186" spans="1:11" x14ac:dyDescent="0.25">
      <c r="A186" t="s">
        <v>308</v>
      </c>
      <c r="B186" t="s">
        <v>221</v>
      </c>
      <c r="C186" t="s">
        <v>215</v>
      </c>
      <c r="D186" s="1">
        <v>46020.439423368058</v>
      </c>
      <c r="E186" s="1"/>
      <c r="F186" t="s">
        <v>39</v>
      </c>
      <c r="G186" t="s">
        <v>40</v>
      </c>
    </row>
    <row r="187" spans="1:11" x14ac:dyDescent="0.25">
      <c r="A187" t="s">
        <v>309</v>
      </c>
      <c r="B187" t="s">
        <v>221</v>
      </c>
      <c r="C187" t="s">
        <v>38</v>
      </c>
      <c r="D187" s="1">
        <v>46020.449353506941</v>
      </c>
      <c r="E187" s="1"/>
      <c r="F187" t="s">
        <v>39</v>
      </c>
      <c r="G187" t="s">
        <v>40</v>
      </c>
    </row>
    <row r="188" spans="1:11" x14ac:dyDescent="0.25">
      <c r="A188" t="s">
        <v>310</v>
      </c>
      <c r="B188" t="s">
        <v>311</v>
      </c>
      <c r="C188" t="s">
        <v>44</v>
      </c>
      <c r="D188" s="1">
        <v>46020.460348993052</v>
      </c>
      <c r="E188" s="1"/>
      <c r="F188" t="s">
        <v>14</v>
      </c>
      <c r="G188" t="s">
        <v>45</v>
      </c>
    </row>
    <row r="189" spans="1:11" x14ac:dyDescent="0.25">
      <c r="A189" t="s">
        <v>312</v>
      </c>
      <c r="B189" t="s">
        <v>311</v>
      </c>
      <c r="C189" t="s">
        <v>47</v>
      </c>
      <c r="D189" s="1">
        <v>46020.400024340277</v>
      </c>
      <c r="E189" s="1">
        <v>46020.400024340277</v>
      </c>
      <c r="F189" t="s">
        <v>69</v>
      </c>
      <c r="G189" t="s">
        <v>70</v>
      </c>
      <c r="H189">
        <v>12300</v>
      </c>
      <c r="I189">
        <v>3990</v>
      </c>
      <c r="J189">
        <v>2440</v>
      </c>
      <c r="K189">
        <v>400</v>
      </c>
    </row>
    <row r="190" spans="1:11" x14ac:dyDescent="0.25">
      <c r="A190" t="s">
        <v>313</v>
      </c>
      <c r="B190" t="s">
        <v>311</v>
      </c>
      <c r="C190" t="s">
        <v>49</v>
      </c>
      <c r="D190" s="1">
        <v>46020.430269502314</v>
      </c>
      <c r="E190" s="1"/>
      <c r="F190" t="s">
        <v>39</v>
      </c>
      <c r="G190" t="s">
        <v>40</v>
      </c>
    </row>
    <row r="191" spans="1:11" x14ac:dyDescent="0.25">
      <c r="A191" t="s">
        <v>314</v>
      </c>
      <c r="B191" t="s">
        <v>311</v>
      </c>
      <c r="C191" t="s">
        <v>51</v>
      </c>
      <c r="D191" s="1">
        <v>45979.660086319447</v>
      </c>
      <c r="E191" s="1"/>
      <c r="F191" t="s">
        <v>14</v>
      </c>
      <c r="G191" t="s">
        <v>18</v>
      </c>
    </row>
    <row r="192" spans="1:11" x14ac:dyDescent="0.25">
      <c r="A192" t="s">
        <v>315</v>
      </c>
      <c r="B192" t="s">
        <v>311</v>
      </c>
      <c r="C192" t="s">
        <v>53</v>
      </c>
      <c r="D192" s="1">
        <v>45979.660087141201</v>
      </c>
      <c r="E192" s="1"/>
      <c r="F192" t="s">
        <v>14</v>
      </c>
      <c r="G192" t="s">
        <v>18</v>
      </c>
    </row>
    <row r="193" spans="1:11" x14ac:dyDescent="0.25">
      <c r="A193" t="s">
        <v>316</v>
      </c>
      <c r="B193" t="s">
        <v>311</v>
      </c>
      <c r="C193" t="s">
        <v>55</v>
      </c>
      <c r="D193" s="1">
        <v>46020.404404664354</v>
      </c>
      <c r="E193" s="1">
        <v>46020.404404664354</v>
      </c>
      <c r="F193" t="s">
        <v>69</v>
      </c>
      <c r="G193" t="s">
        <v>70</v>
      </c>
      <c r="H193">
        <v>36760</v>
      </c>
      <c r="I193">
        <v>3990</v>
      </c>
      <c r="J193">
        <v>3390</v>
      </c>
      <c r="K193">
        <v>5050</v>
      </c>
    </row>
    <row r="194" spans="1:11" x14ac:dyDescent="0.25">
      <c r="A194" t="s">
        <v>317</v>
      </c>
      <c r="B194" t="s">
        <v>311</v>
      </c>
      <c r="C194" t="s">
        <v>57</v>
      </c>
      <c r="D194" s="1">
        <v>46020.393967824071</v>
      </c>
      <c r="E194" s="1">
        <v>46020.393967824071</v>
      </c>
      <c r="F194" t="s">
        <v>69</v>
      </c>
      <c r="G194" t="s">
        <v>70</v>
      </c>
      <c r="H194">
        <v>35760</v>
      </c>
      <c r="I194">
        <v>3990</v>
      </c>
      <c r="J194">
        <v>3390</v>
      </c>
      <c r="K194">
        <v>200</v>
      </c>
    </row>
    <row r="195" spans="1:11" x14ac:dyDescent="0.25">
      <c r="A195" t="s">
        <v>318</v>
      </c>
      <c r="B195" t="s">
        <v>311</v>
      </c>
      <c r="C195" t="s">
        <v>17</v>
      </c>
      <c r="D195" s="1">
        <v>46020.4106325463</v>
      </c>
      <c r="E195" s="1"/>
      <c r="F195" t="s">
        <v>39</v>
      </c>
      <c r="G195" t="s">
        <v>40</v>
      </c>
    </row>
    <row r="196" spans="1:11" x14ac:dyDescent="0.25">
      <c r="A196" t="s">
        <v>319</v>
      </c>
      <c r="B196" t="s">
        <v>311</v>
      </c>
      <c r="C196" t="s">
        <v>20</v>
      </c>
      <c r="D196" s="1">
        <v>46020.417252870371</v>
      </c>
      <c r="E196" s="1"/>
      <c r="F196" t="s">
        <v>14</v>
      </c>
      <c r="G196" t="s">
        <v>230</v>
      </c>
    </row>
    <row r="197" spans="1:11" x14ac:dyDescent="0.25">
      <c r="A197" t="s">
        <v>320</v>
      </c>
      <c r="B197" t="s">
        <v>311</v>
      </c>
      <c r="C197" t="s">
        <v>59</v>
      </c>
      <c r="D197" s="1">
        <v>46020.393730312499</v>
      </c>
      <c r="E197" s="1">
        <v>46020.393730312499</v>
      </c>
      <c r="F197" t="s">
        <v>69</v>
      </c>
      <c r="G197" t="s">
        <v>70</v>
      </c>
      <c r="H197">
        <v>26780</v>
      </c>
      <c r="I197">
        <v>3990</v>
      </c>
      <c r="J197">
        <v>3390</v>
      </c>
      <c r="K197">
        <v>11500</v>
      </c>
    </row>
    <row r="198" spans="1:11" x14ac:dyDescent="0.25">
      <c r="A198" t="s">
        <v>321</v>
      </c>
      <c r="B198" t="s">
        <v>311</v>
      </c>
      <c r="C198" t="s">
        <v>61</v>
      </c>
      <c r="D198" s="1">
        <v>46020.408936435182</v>
      </c>
      <c r="E198" s="1"/>
      <c r="F198" t="s">
        <v>39</v>
      </c>
      <c r="G198" t="s">
        <v>40</v>
      </c>
    </row>
    <row r="199" spans="1:11" x14ac:dyDescent="0.25">
      <c r="A199" t="s">
        <v>322</v>
      </c>
      <c r="B199" t="s">
        <v>311</v>
      </c>
      <c r="C199" t="s">
        <v>63</v>
      </c>
      <c r="D199" s="1">
        <v>46020.413293333331</v>
      </c>
      <c r="E199" s="1"/>
      <c r="F199" t="s">
        <v>39</v>
      </c>
      <c r="G199" t="s">
        <v>40</v>
      </c>
    </row>
    <row r="200" spans="1:11" x14ac:dyDescent="0.25">
      <c r="A200" t="s">
        <v>323</v>
      </c>
      <c r="B200" t="s">
        <v>311</v>
      </c>
      <c r="C200" t="s">
        <v>65</v>
      </c>
      <c r="D200" s="1">
        <v>45979.660089699071</v>
      </c>
      <c r="E200" s="1"/>
      <c r="F200" t="s">
        <v>14</v>
      </c>
      <c r="G200" t="s">
        <v>18</v>
      </c>
    </row>
    <row r="201" spans="1:11" x14ac:dyDescent="0.25">
      <c r="A201" t="s">
        <v>324</v>
      </c>
      <c r="B201" t="s">
        <v>311</v>
      </c>
      <c r="C201" t="s">
        <v>31</v>
      </c>
      <c r="D201" s="1">
        <v>46020.41973184028</v>
      </c>
      <c r="E201" s="1">
        <v>45979.640280567131</v>
      </c>
      <c r="F201" t="s">
        <v>39</v>
      </c>
      <c r="G201" t="s">
        <v>40</v>
      </c>
      <c r="H201">
        <v>16740</v>
      </c>
      <c r="I201">
        <v>3780</v>
      </c>
      <c r="J201">
        <v>2560</v>
      </c>
      <c r="K201">
        <v>1910</v>
      </c>
    </row>
    <row r="202" spans="1:11" x14ac:dyDescent="0.25">
      <c r="A202" t="s">
        <v>325</v>
      </c>
      <c r="B202" t="s">
        <v>311</v>
      </c>
      <c r="C202" t="s">
        <v>68</v>
      </c>
      <c r="D202" s="1">
        <v>46020.420137291665</v>
      </c>
      <c r="E202" s="1">
        <v>45978.028408981481</v>
      </c>
      <c r="F202" t="s">
        <v>14</v>
      </c>
      <c r="G202" t="s">
        <v>93</v>
      </c>
      <c r="H202">
        <v>18320</v>
      </c>
      <c r="I202">
        <v>3790</v>
      </c>
      <c r="J202">
        <v>2560</v>
      </c>
      <c r="K202">
        <v>940</v>
      </c>
    </row>
    <row r="203" spans="1:11" x14ac:dyDescent="0.25">
      <c r="A203" t="s">
        <v>326</v>
      </c>
      <c r="B203" t="s">
        <v>311</v>
      </c>
      <c r="C203" t="s">
        <v>72</v>
      </c>
      <c r="D203" s="1">
        <v>46020.416407280092</v>
      </c>
      <c r="E203" s="1"/>
      <c r="F203" t="s">
        <v>39</v>
      </c>
      <c r="G203" t="s">
        <v>40</v>
      </c>
    </row>
    <row r="204" spans="1:11" x14ac:dyDescent="0.25">
      <c r="A204" t="s">
        <v>327</v>
      </c>
      <c r="B204" t="s">
        <v>311</v>
      </c>
      <c r="C204" t="s">
        <v>74</v>
      </c>
      <c r="D204" s="1">
        <v>46020.438422847219</v>
      </c>
      <c r="E204" s="1"/>
      <c r="F204" t="s">
        <v>39</v>
      </c>
      <c r="G204" t="s">
        <v>40</v>
      </c>
    </row>
    <row r="205" spans="1:11" x14ac:dyDescent="0.25">
      <c r="A205" t="s">
        <v>328</v>
      </c>
      <c r="B205" t="s">
        <v>311</v>
      </c>
      <c r="C205" t="s">
        <v>76</v>
      </c>
      <c r="D205" s="1">
        <v>46020.402516238428</v>
      </c>
      <c r="E205" s="1">
        <v>46020.402516238428</v>
      </c>
      <c r="F205" t="s">
        <v>69</v>
      </c>
      <c r="G205" t="s">
        <v>70</v>
      </c>
      <c r="H205">
        <v>9760</v>
      </c>
      <c r="I205">
        <v>3990</v>
      </c>
      <c r="J205">
        <v>3390</v>
      </c>
      <c r="K205">
        <v>2250</v>
      </c>
    </row>
    <row r="206" spans="1:11" x14ac:dyDescent="0.25">
      <c r="A206" t="s">
        <v>329</v>
      </c>
      <c r="B206" t="s">
        <v>311</v>
      </c>
      <c r="C206" t="s">
        <v>78</v>
      </c>
      <c r="D206" s="1">
        <v>45979.660087534721</v>
      </c>
      <c r="E206" s="1"/>
      <c r="F206" t="s">
        <v>14</v>
      </c>
      <c r="G206" t="s">
        <v>18</v>
      </c>
    </row>
    <row r="207" spans="1:11" x14ac:dyDescent="0.25">
      <c r="A207" t="s">
        <v>330</v>
      </c>
      <c r="B207" t="s">
        <v>311</v>
      </c>
      <c r="C207" t="s">
        <v>80</v>
      </c>
      <c r="D207" s="1">
        <v>46020.404902025461</v>
      </c>
      <c r="E207" s="1">
        <v>46020.404902025461</v>
      </c>
      <c r="F207" t="s">
        <v>69</v>
      </c>
      <c r="G207" t="s">
        <v>70</v>
      </c>
      <c r="H207">
        <v>19760</v>
      </c>
      <c r="I207">
        <v>3990</v>
      </c>
      <c r="J207">
        <v>3390</v>
      </c>
      <c r="K207">
        <v>5020</v>
      </c>
    </row>
    <row r="208" spans="1:11" x14ac:dyDescent="0.25">
      <c r="A208" t="s">
        <v>331</v>
      </c>
      <c r="B208" t="s">
        <v>311</v>
      </c>
      <c r="C208" t="s">
        <v>82</v>
      </c>
      <c r="D208" s="1">
        <v>46020.454345740742</v>
      </c>
      <c r="E208" s="1"/>
      <c r="F208" t="s">
        <v>39</v>
      </c>
      <c r="G208" t="s">
        <v>40</v>
      </c>
    </row>
    <row r="209" spans="1:11" x14ac:dyDescent="0.25">
      <c r="A209" t="s">
        <v>332</v>
      </c>
      <c r="B209" t="s">
        <v>311</v>
      </c>
      <c r="C209" t="s">
        <v>84</v>
      </c>
      <c r="D209" s="1">
        <v>45979.660089837962</v>
      </c>
      <c r="E209" s="1"/>
      <c r="F209" t="s">
        <v>14</v>
      </c>
      <c r="G209" t="s">
        <v>18</v>
      </c>
    </row>
    <row r="210" spans="1:11" x14ac:dyDescent="0.25">
      <c r="A210" t="s">
        <v>333</v>
      </c>
      <c r="B210" t="s">
        <v>311</v>
      </c>
      <c r="C210" t="s">
        <v>86</v>
      </c>
      <c r="D210" s="1">
        <v>46020.405279050923</v>
      </c>
      <c r="E210" s="1">
        <v>46013.437077418981</v>
      </c>
      <c r="F210" t="s">
        <v>39</v>
      </c>
      <c r="G210" t="s">
        <v>40</v>
      </c>
      <c r="H210">
        <v>23220</v>
      </c>
      <c r="I210">
        <v>4010</v>
      </c>
      <c r="J210">
        <v>23390</v>
      </c>
    </row>
    <row r="211" spans="1:11" x14ac:dyDescent="0.25">
      <c r="A211" t="s">
        <v>334</v>
      </c>
      <c r="B211" t="s">
        <v>311</v>
      </c>
      <c r="C211" t="s">
        <v>88</v>
      </c>
      <c r="D211" s="1">
        <v>46020.421164085645</v>
      </c>
      <c r="E211" s="1">
        <v>45978.032007407404</v>
      </c>
      <c r="F211" t="s">
        <v>14</v>
      </c>
      <c r="G211" t="s">
        <v>93</v>
      </c>
      <c r="H211">
        <v>30610</v>
      </c>
      <c r="I211">
        <v>3790</v>
      </c>
      <c r="J211">
        <v>3430</v>
      </c>
      <c r="K211">
        <v>2250</v>
      </c>
    </row>
    <row r="212" spans="1:11" x14ac:dyDescent="0.25">
      <c r="A212" t="s">
        <v>335</v>
      </c>
      <c r="B212" t="s">
        <v>311</v>
      </c>
      <c r="C212" t="s">
        <v>90</v>
      </c>
      <c r="D212" s="1">
        <v>46020.403094606481</v>
      </c>
      <c r="E212" s="1">
        <v>46013.432876203704</v>
      </c>
      <c r="F212" t="s">
        <v>39</v>
      </c>
      <c r="G212" t="s">
        <v>40</v>
      </c>
      <c r="H212">
        <v>17590</v>
      </c>
      <c r="I212">
        <v>4010</v>
      </c>
      <c r="J212">
        <v>2560</v>
      </c>
      <c r="K212">
        <v>1920</v>
      </c>
    </row>
    <row r="213" spans="1:11" x14ac:dyDescent="0.25">
      <c r="A213" t="s">
        <v>336</v>
      </c>
      <c r="B213" t="s">
        <v>311</v>
      </c>
      <c r="C213" t="s">
        <v>92</v>
      </c>
      <c r="D213" s="1">
        <v>46020.422779097222</v>
      </c>
      <c r="E213" s="1">
        <v>45977.49407119213</v>
      </c>
      <c r="F213" t="s">
        <v>39</v>
      </c>
      <c r="G213" t="s">
        <v>40</v>
      </c>
      <c r="H213">
        <v>4430</v>
      </c>
      <c r="I213">
        <v>11650</v>
      </c>
      <c r="J213">
        <v>3790</v>
      </c>
      <c r="K213">
        <v>2190</v>
      </c>
    </row>
    <row r="214" spans="1:11" x14ac:dyDescent="0.25">
      <c r="A214" t="s">
        <v>337</v>
      </c>
      <c r="B214" t="s">
        <v>311</v>
      </c>
      <c r="C214" t="s">
        <v>95</v>
      </c>
      <c r="D214" s="1">
        <v>46020.395318275463</v>
      </c>
      <c r="E214" s="1">
        <v>46020.395318275463</v>
      </c>
      <c r="F214" t="s">
        <v>69</v>
      </c>
      <c r="G214" t="s">
        <v>70</v>
      </c>
      <c r="H214">
        <v>7150</v>
      </c>
      <c r="I214">
        <v>3990</v>
      </c>
      <c r="J214">
        <v>2360</v>
      </c>
      <c r="K214">
        <v>4560</v>
      </c>
    </row>
    <row r="215" spans="1:11" x14ac:dyDescent="0.25">
      <c r="A215" t="s">
        <v>338</v>
      </c>
      <c r="B215" t="s">
        <v>311</v>
      </c>
      <c r="C215" t="s">
        <v>97</v>
      </c>
      <c r="D215" s="1">
        <v>46020.394800266207</v>
      </c>
      <c r="E215" s="1">
        <v>46020.394800266207</v>
      </c>
      <c r="F215" t="s">
        <v>69</v>
      </c>
      <c r="G215" t="s">
        <v>70</v>
      </c>
      <c r="H215">
        <v>7150</v>
      </c>
      <c r="I215">
        <v>3990</v>
      </c>
      <c r="J215">
        <v>2360</v>
      </c>
      <c r="K215">
        <v>6400</v>
      </c>
    </row>
    <row r="216" spans="1:11" x14ac:dyDescent="0.25">
      <c r="A216" t="s">
        <v>339</v>
      </c>
      <c r="B216" t="s">
        <v>311</v>
      </c>
      <c r="C216" t="s">
        <v>22</v>
      </c>
      <c r="D216" s="1">
        <v>45979.630560532409</v>
      </c>
      <c r="E216" s="1">
        <v>45979.630560532409</v>
      </c>
      <c r="F216" t="s">
        <v>69</v>
      </c>
      <c r="G216" t="s">
        <v>70</v>
      </c>
      <c r="H216">
        <v>10450</v>
      </c>
      <c r="I216">
        <v>3780</v>
      </c>
      <c r="J216">
        <v>2560</v>
      </c>
      <c r="K216">
        <v>3320</v>
      </c>
    </row>
    <row r="217" spans="1:11" x14ac:dyDescent="0.25">
      <c r="A217" t="s">
        <v>340</v>
      </c>
      <c r="B217" t="s">
        <v>311</v>
      </c>
      <c r="C217" t="s">
        <v>100</v>
      </c>
      <c r="D217" s="1">
        <v>46020.422061562502</v>
      </c>
      <c r="E217" s="1">
        <v>45978.033946481482</v>
      </c>
      <c r="F217" t="s">
        <v>39</v>
      </c>
      <c r="G217" t="s">
        <v>40</v>
      </c>
      <c r="H217">
        <v>14930</v>
      </c>
      <c r="I217">
        <v>3790</v>
      </c>
      <c r="J217">
        <v>2210</v>
      </c>
      <c r="K217">
        <v>2760</v>
      </c>
    </row>
    <row r="218" spans="1:11" x14ac:dyDescent="0.25">
      <c r="A218" t="s">
        <v>341</v>
      </c>
      <c r="B218" t="s">
        <v>311</v>
      </c>
      <c r="C218" t="s">
        <v>102</v>
      </c>
      <c r="D218" s="1">
        <v>46020.39910185185</v>
      </c>
      <c r="E218" s="1">
        <v>46013.425847280094</v>
      </c>
      <c r="F218" t="s">
        <v>39</v>
      </c>
      <c r="G218" t="s">
        <v>40</v>
      </c>
      <c r="H218">
        <v>11960</v>
      </c>
      <c r="I218">
        <v>4010</v>
      </c>
      <c r="J218">
        <v>2150</v>
      </c>
      <c r="K218">
        <v>2800</v>
      </c>
    </row>
    <row r="219" spans="1:11" x14ac:dyDescent="0.25">
      <c r="A219" t="s">
        <v>342</v>
      </c>
      <c r="B219" t="s">
        <v>311</v>
      </c>
      <c r="C219" t="s">
        <v>104</v>
      </c>
      <c r="D219" s="1">
        <v>46020.415476736111</v>
      </c>
      <c r="E219" s="1"/>
      <c r="F219" t="s">
        <v>39</v>
      </c>
      <c r="G219" t="s">
        <v>40</v>
      </c>
    </row>
    <row r="220" spans="1:11" x14ac:dyDescent="0.25">
      <c r="A220" t="s">
        <v>343</v>
      </c>
      <c r="B220" t="s">
        <v>311</v>
      </c>
      <c r="C220" t="s">
        <v>33</v>
      </c>
      <c r="D220" s="1">
        <v>46020.406762129627</v>
      </c>
      <c r="E220" s="1">
        <v>46020.406762129627</v>
      </c>
      <c r="F220" t="s">
        <v>69</v>
      </c>
      <c r="G220" t="s">
        <v>70</v>
      </c>
      <c r="H220">
        <v>20260</v>
      </c>
      <c r="I220">
        <v>3990</v>
      </c>
      <c r="J220">
        <v>2440</v>
      </c>
      <c r="K220">
        <v>3910</v>
      </c>
    </row>
    <row r="221" spans="1:11" x14ac:dyDescent="0.25">
      <c r="A221" t="s">
        <v>344</v>
      </c>
      <c r="B221" t="s">
        <v>311</v>
      </c>
      <c r="C221" t="s">
        <v>107</v>
      </c>
      <c r="D221" s="1">
        <v>46020.444951990743</v>
      </c>
      <c r="E221" s="1"/>
      <c r="F221" t="s">
        <v>39</v>
      </c>
      <c r="G221" t="s">
        <v>40</v>
      </c>
    </row>
    <row r="222" spans="1:11" x14ac:dyDescent="0.25">
      <c r="A222" t="s">
        <v>345</v>
      </c>
      <c r="B222" t="s">
        <v>311</v>
      </c>
      <c r="C222" t="s">
        <v>109</v>
      </c>
      <c r="D222" s="1">
        <v>46020.424215300925</v>
      </c>
      <c r="E222" s="1">
        <v>45977.606431759261</v>
      </c>
      <c r="F222" t="s">
        <v>14</v>
      </c>
      <c r="G222" t="s">
        <v>93</v>
      </c>
      <c r="H222">
        <v>5530</v>
      </c>
      <c r="I222">
        <v>37010</v>
      </c>
      <c r="J222">
        <v>3790</v>
      </c>
      <c r="K222">
        <v>3430</v>
      </c>
    </row>
    <row r="223" spans="1:11" x14ac:dyDescent="0.25">
      <c r="A223" t="s">
        <v>346</v>
      </c>
      <c r="B223" t="s">
        <v>311</v>
      </c>
      <c r="C223" t="s">
        <v>347</v>
      </c>
      <c r="D223" s="1">
        <v>46020.394523275463</v>
      </c>
      <c r="E223" s="1">
        <v>46020.394523275463</v>
      </c>
      <c r="F223" t="s">
        <v>69</v>
      </c>
      <c r="G223" t="s">
        <v>70</v>
      </c>
      <c r="H223">
        <v>33760</v>
      </c>
      <c r="I223">
        <v>3990</v>
      </c>
      <c r="J223">
        <v>3390</v>
      </c>
      <c r="K223">
        <v>1550</v>
      </c>
    </row>
    <row r="224" spans="1:11" x14ac:dyDescent="0.25">
      <c r="A224" t="s">
        <v>348</v>
      </c>
      <c r="B224" t="s">
        <v>311</v>
      </c>
      <c r="C224" t="s">
        <v>111</v>
      </c>
      <c r="D224" s="1">
        <v>46020.404674571757</v>
      </c>
      <c r="E224" s="1">
        <v>46020.404674571757</v>
      </c>
      <c r="F224" t="s">
        <v>69</v>
      </c>
      <c r="G224" t="s">
        <v>70</v>
      </c>
      <c r="H224">
        <v>25260</v>
      </c>
      <c r="I224">
        <v>3990</v>
      </c>
      <c r="J224">
        <v>3390</v>
      </c>
      <c r="K224">
        <v>4290</v>
      </c>
    </row>
    <row r="225" spans="1:11" x14ac:dyDescent="0.25">
      <c r="A225" t="s">
        <v>349</v>
      </c>
      <c r="B225" t="s">
        <v>311</v>
      </c>
      <c r="C225" t="s">
        <v>113</v>
      </c>
      <c r="D225" s="1">
        <v>46020.455582129631</v>
      </c>
      <c r="E225" s="1"/>
      <c r="F225" t="s">
        <v>39</v>
      </c>
      <c r="G225" t="s">
        <v>40</v>
      </c>
    </row>
    <row r="226" spans="1:11" x14ac:dyDescent="0.25">
      <c r="A226" t="s">
        <v>350</v>
      </c>
      <c r="B226" t="s">
        <v>311</v>
      </c>
      <c r="C226" t="s">
        <v>115</v>
      </c>
      <c r="D226" s="1">
        <v>46020.431825497682</v>
      </c>
      <c r="E226" s="1"/>
      <c r="F226" t="s">
        <v>39</v>
      </c>
      <c r="G226" t="s">
        <v>40</v>
      </c>
    </row>
    <row r="227" spans="1:11" x14ac:dyDescent="0.25">
      <c r="A227" t="s">
        <v>351</v>
      </c>
      <c r="B227" t="s">
        <v>311</v>
      </c>
      <c r="C227" t="s">
        <v>117</v>
      </c>
      <c r="D227" s="1">
        <v>46020.451737905096</v>
      </c>
      <c r="E227" s="1"/>
      <c r="F227" t="s">
        <v>14</v>
      </c>
      <c r="G227" t="s">
        <v>118</v>
      </c>
    </row>
    <row r="228" spans="1:11" x14ac:dyDescent="0.25">
      <c r="A228" t="s">
        <v>352</v>
      </c>
      <c r="B228" t="s">
        <v>311</v>
      </c>
      <c r="C228" t="s">
        <v>120</v>
      </c>
      <c r="D228" s="1">
        <v>46020.403364259262</v>
      </c>
      <c r="E228" s="1">
        <v>46020.403364259262</v>
      </c>
      <c r="F228" t="s">
        <v>69</v>
      </c>
      <c r="G228" t="s">
        <v>70</v>
      </c>
      <c r="H228">
        <v>18670</v>
      </c>
      <c r="I228">
        <v>3990</v>
      </c>
      <c r="J228">
        <v>3390</v>
      </c>
      <c r="K228">
        <v>3020</v>
      </c>
    </row>
    <row r="229" spans="1:11" x14ac:dyDescent="0.25">
      <c r="A229" t="s">
        <v>353</v>
      </c>
      <c r="B229" t="s">
        <v>311</v>
      </c>
      <c r="C229" t="s">
        <v>122</v>
      </c>
      <c r="D229" s="1">
        <v>46020.428403773149</v>
      </c>
      <c r="E229" s="1">
        <v>46020.428403773149</v>
      </c>
      <c r="F229" t="s">
        <v>69</v>
      </c>
      <c r="G229" t="s">
        <v>70</v>
      </c>
      <c r="H229">
        <v>26300</v>
      </c>
      <c r="I229">
        <v>3990</v>
      </c>
      <c r="J229">
        <v>27390</v>
      </c>
    </row>
    <row r="230" spans="1:11" x14ac:dyDescent="0.25">
      <c r="A230" t="s">
        <v>354</v>
      </c>
      <c r="B230" t="s">
        <v>311</v>
      </c>
      <c r="C230" t="s">
        <v>124</v>
      </c>
      <c r="D230" s="1">
        <v>46020.433990775462</v>
      </c>
      <c r="E230" s="1">
        <v>46020.433990775462</v>
      </c>
      <c r="F230" t="s">
        <v>69</v>
      </c>
      <c r="G230" t="s">
        <v>70</v>
      </c>
      <c r="H230">
        <v>23070</v>
      </c>
      <c r="I230">
        <v>3990</v>
      </c>
      <c r="J230">
        <v>24390</v>
      </c>
    </row>
    <row r="231" spans="1:11" x14ac:dyDescent="0.25">
      <c r="A231" t="s">
        <v>355</v>
      </c>
      <c r="B231" t="s">
        <v>311</v>
      </c>
      <c r="C231" t="s">
        <v>126</v>
      </c>
      <c r="D231" s="1">
        <v>46020.403861805557</v>
      </c>
      <c r="E231" s="1">
        <v>46020.403861805557</v>
      </c>
      <c r="F231" t="s">
        <v>69</v>
      </c>
      <c r="G231" t="s">
        <v>70</v>
      </c>
      <c r="H231">
        <v>22430</v>
      </c>
      <c r="I231">
        <v>3990</v>
      </c>
      <c r="J231">
        <v>3940</v>
      </c>
      <c r="K231">
        <v>2080</v>
      </c>
    </row>
    <row r="232" spans="1:11" x14ac:dyDescent="0.25">
      <c r="A232" t="s">
        <v>356</v>
      </c>
      <c r="B232" t="s">
        <v>311</v>
      </c>
      <c r="C232" t="s">
        <v>128</v>
      </c>
      <c r="D232" s="1">
        <v>46020.427482245374</v>
      </c>
      <c r="E232" s="1"/>
      <c r="F232" t="s">
        <v>39</v>
      </c>
      <c r="G232" t="s">
        <v>40</v>
      </c>
    </row>
    <row r="233" spans="1:11" x14ac:dyDescent="0.25">
      <c r="A233" t="s">
        <v>357</v>
      </c>
      <c r="B233" t="s">
        <v>311</v>
      </c>
      <c r="C233" t="s">
        <v>130</v>
      </c>
      <c r="D233" s="1">
        <v>46020.459458611112</v>
      </c>
      <c r="E233" s="1"/>
      <c r="F233" t="s">
        <v>14</v>
      </c>
      <c r="G233" t="s">
        <v>93</v>
      </c>
    </row>
    <row r="234" spans="1:11" x14ac:dyDescent="0.25">
      <c r="A234" t="s">
        <v>358</v>
      </c>
      <c r="B234" t="s">
        <v>311</v>
      </c>
      <c r="C234" t="s">
        <v>133</v>
      </c>
      <c r="D234" s="1">
        <v>46020.449970983798</v>
      </c>
      <c r="E234" s="1"/>
      <c r="F234" t="s">
        <v>39</v>
      </c>
      <c r="G234" t="s">
        <v>40</v>
      </c>
    </row>
    <row r="235" spans="1:11" x14ac:dyDescent="0.25">
      <c r="A235" t="s">
        <v>359</v>
      </c>
      <c r="B235" t="s">
        <v>311</v>
      </c>
      <c r="C235" t="s">
        <v>135</v>
      </c>
      <c r="D235" s="1">
        <v>46020.401969907405</v>
      </c>
      <c r="E235" s="1">
        <v>46020.401969907405</v>
      </c>
      <c r="F235" t="s">
        <v>69</v>
      </c>
      <c r="G235" t="s">
        <v>70</v>
      </c>
      <c r="H235">
        <v>9000</v>
      </c>
      <c r="I235">
        <v>3990</v>
      </c>
      <c r="J235">
        <v>5230</v>
      </c>
      <c r="K235">
        <v>590</v>
      </c>
    </row>
    <row r="236" spans="1:11" x14ac:dyDescent="0.25">
      <c r="A236" t="s">
        <v>360</v>
      </c>
      <c r="B236" t="s">
        <v>311</v>
      </c>
      <c r="C236" t="s">
        <v>35</v>
      </c>
      <c r="D236" s="1">
        <v>46020.418666469908</v>
      </c>
      <c r="E236" s="1"/>
      <c r="F236" t="s">
        <v>14</v>
      </c>
      <c r="G236" t="s">
        <v>36</v>
      </c>
    </row>
    <row r="237" spans="1:11" x14ac:dyDescent="0.25">
      <c r="A237" t="s">
        <v>361</v>
      </c>
      <c r="B237" t="s">
        <v>311</v>
      </c>
      <c r="C237" t="s">
        <v>137</v>
      </c>
      <c r="D237" s="1">
        <v>46020.429336435183</v>
      </c>
      <c r="E237" s="1"/>
      <c r="F237" t="s">
        <v>39</v>
      </c>
      <c r="G237" t="s">
        <v>40</v>
      </c>
    </row>
    <row r="238" spans="1:11" x14ac:dyDescent="0.25">
      <c r="A238" t="s">
        <v>362</v>
      </c>
      <c r="B238" t="s">
        <v>311</v>
      </c>
      <c r="C238" t="s">
        <v>139</v>
      </c>
      <c r="D238" s="1">
        <v>46020.445950254631</v>
      </c>
      <c r="E238" s="1"/>
      <c r="F238" t="s">
        <v>39</v>
      </c>
      <c r="G238" t="s">
        <v>40</v>
      </c>
    </row>
    <row r="239" spans="1:11" x14ac:dyDescent="0.25">
      <c r="A239" t="s">
        <v>363</v>
      </c>
      <c r="B239" t="s">
        <v>311</v>
      </c>
      <c r="C239" t="s">
        <v>141</v>
      </c>
      <c r="D239" s="1">
        <v>46020.436542361109</v>
      </c>
      <c r="E239" s="1"/>
      <c r="F239" t="s">
        <v>39</v>
      </c>
      <c r="G239" t="s">
        <v>40</v>
      </c>
    </row>
    <row r="240" spans="1:11" x14ac:dyDescent="0.25">
      <c r="A240" t="s">
        <v>364</v>
      </c>
      <c r="B240" t="s">
        <v>311</v>
      </c>
      <c r="C240" t="s">
        <v>143</v>
      </c>
      <c r="D240" s="1">
        <v>46020.402240046293</v>
      </c>
      <c r="E240" s="1">
        <v>46020.402240046293</v>
      </c>
      <c r="F240" t="s">
        <v>69</v>
      </c>
      <c r="G240" t="s">
        <v>70</v>
      </c>
      <c r="H240">
        <v>29760</v>
      </c>
      <c r="I240">
        <v>3990</v>
      </c>
      <c r="J240">
        <v>3390</v>
      </c>
      <c r="K240">
        <v>2920</v>
      </c>
    </row>
    <row r="241" spans="1:11" x14ac:dyDescent="0.25">
      <c r="A241" t="s">
        <v>365</v>
      </c>
      <c r="B241" t="s">
        <v>311</v>
      </c>
      <c r="C241" t="s">
        <v>145</v>
      </c>
      <c r="D241" s="1">
        <v>46020.437481018518</v>
      </c>
      <c r="E241" s="1"/>
      <c r="F241" t="s">
        <v>39</v>
      </c>
      <c r="G241" t="s">
        <v>40</v>
      </c>
    </row>
    <row r="242" spans="1:11" x14ac:dyDescent="0.25">
      <c r="A242" t="s">
        <v>366</v>
      </c>
      <c r="B242" t="s">
        <v>311</v>
      </c>
      <c r="C242" t="s">
        <v>147</v>
      </c>
      <c r="D242" s="1">
        <v>46020.394280497683</v>
      </c>
      <c r="E242" s="1">
        <v>46013.410342465279</v>
      </c>
      <c r="F242" t="s">
        <v>39</v>
      </c>
      <c r="G242" t="s">
        <v>40</v>
      </c>
      <c r="H242">
        <v>17590</v>
      </c>
      <c r="I242">
        <v>4010</v>
      </c>
      <c r="J242">
        <v>2560</v>
      </c>
      <c r="K242">
        <v>950</v>
      </c>
    </row>
    <row r="243" spans="1:11" x14ac:dyDescent="0.25">
      <c r="A243" t="s">
        <v>367</v>
      </c>
      <c r="B243" t="s">
        <v>311</v>
      </c>
      <c r="C243" t="s">
        <v>149</v>
      </c>
      <c r="D243" s="1">
        <v>46020.405684490739</v>
      </c>
      <c r="E243" s="1">
        <v>46013.437349722219</v>
      </c>
      <c r="F243" t="s">
        <v>14</v>
      </c>
      <c r="G243" t="s">
        <v>93</v>
      </c>
      <c r="H243">
        <v>24760</v>
      </c>
      <c r="I243">
        <v>4010</v>
      </c>
      <c r="J243">
        <v>3390</v>
      </c>
      <c r="K243">
        <v>2450</v>
      </c>
    </row>
    <row r="244" spans="1:11" x14ac:dyDescent="0.25">
      <c r="A244" t="s">
        <v>368</v>
      </c>
      <c r="B244" t="s">
        <v>311</v>
      </c>
      <c r="C244" t="s">
        <v>151</v>
      </c>
      <c r="D244" s="1">
        <v>46020.403633726855</v>
      </c>
      <c r="E244" s="1">
        <v>46020.403633726855</v>
      </c>
      <c r="F244" t="s">
        <v>69</v>
      </c>
      <c r="G244" t="s">
        <v>70</v>
      </c>
      <c r="H244">
        <v>9650</v>
      </c>
      <c r="I244">
        <v>3990</v>
      </c>
      <c r="J244">
        <v>2360</v>
      </c>
      <c r="K244">
        <v>3730</v>
      </c>
    </row>
    <row r="245" spans="1:11" x14ac:dyDescent="0.25">
      <c r="A245" t="s">
        <v>369</v>
      </c>
      <c r="B245" t="s">
        <v>311</v>
      </c>
      <c r="C245" t="s">
        <v>153</v>
      </c>
      <c r="D245" s="1">
        <v>46020.425918182867</v>
      </c>
      <c r="E245" s="1"/>
      <c r="F245" t="s">
        <v>39</v>
      </c>
      <c r="G245" t="s">
        <v>40</v>
      </c>
    </row>
    <row r="246" spans="1:11" x14ac:dyDescent="0.25">
      <c r="A246" t="s">
        <v>370</v>
      </c>
      <c r="B246" t="s">
        <v>311</v>
      </c>
      <c r="C246" t="s">
        <v>155</v>
      </c>
      <c r="D246" s="1">
        <v>46020.421475011572</v>
      </c>
      <c r="E246" s="1">
        <v>46020.421475011572</v>
      </c>
      <c r="F246" t="s">
        <v>69</v>
      </c>
      <c r="G246" t="s">
        <v>70</v>
      </c>
      <c r="H246">
        <v>11150</v>
      </c>
      <c r="I246">
        <v>3990</v>
      </c>
      <c r="J246">
        <v>2360</v>
      </c>
      <c r="K246">
        <v>5030</v>
      </c>
    </row>
    <row r="247" spans="1:11" x14ac:dyDescent="0.25">
      <c r="A247" t="s">
        <v>371</v>
      </c>
      <c r="B247" t="s">
        <v>311</v>
      </c>
      <c r="C247" t="s">
        <v>157</v>
      </c>
      <c r="D247" s="1">
        <v>46020.397242430554</v>
      </c>
      <c r="E247" s="1">
        <v>46020.397242430554</v>
      </c>
      <c r="F247" t="s">
        <v>69</v>
      </c>
      <c r="G247" t="s">
        <v>70</v>
      </c>
      <c r="H247">
        <v>26930</v>
      </c>
      <c r="I247">
        <v>3990</v>
      </c>
      <c r="J247">
        <v>3940</v>
      </c>
      <c r="K247">
        <v>2650</v>
      </c>
    </row>
    <row r="248" spans="1:11" x14ac:dyDescent="0.25">
      <c r="A248" t="s">
        <v>372</v>
      </c>
      <c r="B248" t="s">
        <v>311</v>
      </c>
      <c r="C248" t="s">
        <v>159</v>
      </c>
      <c r="D248" s="1">
        <v>46020.396772499997</v>
      </c>
      <c r="E248" s="1">
        <v>46020.396772499997</v>
      </c>
      <c r="F248" t="s">
        <v>69</v>
      </c>
      <c r="G248" t="s">
        <v>70</v>
      </c>
      <c r="H248">
        <v>19830</v>
      </c>
      <c r="I248">
        <v>3990</v>
      </c>
      <c r="J248">
        <v>4940</v>
      </c>
    </row>
    <row r="249" spans="1:11" x14ac:dyDescent="0.25">
      <c r="A249" t="s">
        <v>373</v>
      </c>
      <c r="B249" t="s">
        <v>311</v>
      </c>
      <c r="C249" t="s">
        <v>161</v>
      </c>
      <c r="D249" s="1">
        <v>46020.423496365744</v>
      </c>
      <c r="E249" s="1">
        <v>45977.582536793983</v>
      </c>
      <c r="F249" t="s">
        <v>39</v>
      </c>
      <c r="G249" t="s">
        <v>40</v>
      </c>
      <c r="H249">
        <v>250</v>
      </c>
      <c r="I249">
        <v>39100</v>
      </c>
      <c r="J249">
        <v>3790</v>
      </c>
      <c r="K249">
        <v>3430</v>
      </c>
    </row>
    <row r="250" spans="1:11" x14ac:dyDescent="0.25">
      <c r="A250" t="s">
        <v>374</v>
      </c>
      <c r="B250" t="s">
        <v>311</v>
      </c>
      <c r="C250" t="s">
        <v>163</v>
      </c>
      <c r="D250" s="1">
        <v>46020.423809861109</v>
      </c>
      <c r="E250" s="1">
        <v>45977.598113009262</v>
      </c>
      <c r="F250" t="s">
        <v>39</v>
      </c>
      <c r="G250" t="s">
        <v>40</v>
      </c>
      <c r="I250">
        <v>23650</v>
      </c>
      <c r="J250">
        <v>3790</v>
      </c>
      <c r="K250">
        <v>31880</v>
      </c>
    </row>
    <row r="251" spans="1:11" x14ac:dyDescent="0.25">
      <c r="A251" t="s">
        <v>375</v>
      </c>
      <c r="B251" t="s">
        <v>311</v>
      </c>
      <c r="C251" t="s">
        <v>165</v>
      </c>
      <c r="D251" s="1">
        <v>46020.450897187497</v>
      </c>
      <c r="E251" s="1"/>
      <c r="F251" t="s">
        <v>39</v>
      </c>
      <c r="G251" t="s">
        <v>40</v>
      </c>
    </row>
    <row r="252" spans="1:11" x14ac:dyDescent="0.25">
      <c r="A252" t="s">
        <v>376</v>
      </c>
      <c r="B252" t="s">
        <v>311</v>
      </c>
      <c r="C252" t="s">
        <v>167</v>
      </c>
      <c r="D252" s="1">
        <v>45979.660086493059</v>
      </c>
      <c r="E252" s="1"/>
      <c r="F252" t="s">
        <v>14</v>
      </c>
      <c r="G252" t="s">
        <v>18</v>
      </c>
    </row>
    <row r="253" spans="1:11" x14ac:dyDescent="0.25">
      <c r="A253" t="s">
        <v>377</v>
      </c>
      <c r="B253" t="s">
        <v>311</v>
      </c>
      <c r="C253" t="s">
        <v>169</v>
      </c>
      <c r="D253" s="1">
        <v>45979.654873877313</v>
      </c>
      <c r="E253" s="1"/>
      <c r="F253" t="s">
        <v>14</v>
      </c>
      <c r="G253" t="s">
        <v>170</v>
      </c>
    </row>
    <row r="254" spans="1:11" x14ac:dyDescent="0.25">
      <c r="A254" t="s">
        <v>378</v>
      </c>
      <c r="B254" t="s">
        <v>311</v>
      </c>
      <c r="C254" t="s">
        <v>172</v>
      </c>
      <c r="D254" s="1">
        <v>45979.660086157404</v>
      </c>
      <c r="E254" s="1"/>
      <c r="F254" t="s">
        <v>14</v>
      </c>
      <c r="G254" t="s">
        <v>18</v>
      </c>
    </row>
    <row r="255" spans="1:11" x14ac:dyDescent="0.25">
      <c r="A255" t="s">
        <v>379</v>
      </c>
      <c r="B255" t="s">
        <v>311</v>
      </c>
      <c r="C255" t="s">
        <v>174</v>
      </c>
      <c r="D255" s="1">
        <v>45979.660089398145</v>
      </c>
      <c r="E255" s="1"/>
      <c r="F255" t="s">
        <v>14</v>
      </c>
      <c r="G255" t="s">
        <v>18</v>
      </c>
    </row>
    <row r="256" spans="1:11" x14ac:dyDescent="0.25">
      <c r="A256" t="s">
        <v>380</v>
      </c>
      <c r="B256" t="s">
        <v>311</v>
      </c>
      <c r="C256" t="s">
        <v>176</v>
      </c>
      <c r="D256" s="1">
        <v>45979.651726458331</v>
      </c>
      <c r="E256" s="1"/>
      <c r="F256" t="s">
        <v>14</v>
      </c>
      <c r="G256" t="s">
        <v>177</v>
      </c>
    </row>
    <row r="257" spans="1:11" x14ac:dyDescent="0.25">
      <c r="A257" t="s">
        <v>381</v>
      </c>
      <c r="B257" t="s">
        <v>311</v>
      </c>
      <c r="C257" t="s">
        <v>179</v>
      </c>
      <c r="D257" s="1">
        <v>45979.660089293982</v>
      </c>
      <c r="E257" s="1"/>
      <c r="F257" t="s">
        <v>14</v>
      </c>
      <c r="G257" t="s">
        <v>18</v>
      </c>
    </row>
    <row r="258" spans="1:11" x14ac:dyDescent="0.25">
      <c r="A258" t="s">
        <v>382</v>
      </c>
      <c r="B258" t="s">
        <v>311</v>
      </c>
      <c r="C258" t="s">
        <v>181</v>
      </c>
      <c r="D258" s="1">
        <v>45979.652752222224</v>
      </c>
      <c r="E258" s="1"/>
      <c r="F258" t="s">
        <v>39</v>
      </c>
      <c r="G258" t="s">
        <v>40</v>
      </c>
    </row>
    <row r="259" spans="1:11" x14ac:dyDescent="0.25">
      <c r="A259" t="s">
        <v>383</v>
      </c>
      <c r="B259" t="s">
        <v>311</v>
      </c>
      <c r="C259" t="s">
        <v>183</v>
      </c>
      <c r="D259" s="1">
        <v>46020.396268842589</v>
      </c>
      <c r="E259" s="1">
        <v>46020.396268842589</v>
      </c>
      <c r="F259" t="s">
        <v>69</v>
      </c>
      <c r="G259" t="s">
        <v>70</v>
      </c>
      <c r="H259">
        <v>9730</v>
      </c>
      <c r="I259">
        <v>3990</v>
      </c>
      <c r="J259">
        <v>2760</v>
      </c>
      <c r="K259">
        <v>950</v>
      </c>
    </row>
    <row r="260" spans="1:11" x14ac:dyDescent="0.25">
      <c r="A260" t="s">
        <v>384</v>
      </c>
      <c r="B260" t="s">
        <v>311</v>
      </c>
      <c r="C260" t="s">
        <v>185</v>
      </c>
      <c r="D260" s="1">
        <v>46020.397828993053</v>
      </c>
      <c r="E260" s="1">
        <v>46013.424772118058</v>
      </c>
      <c r="F260" t="s">
        <v>39</v>
      </c>
      <c r="G260" t="s">
        <v>40</v>
      </c>
      <c r="H260">
        <v>9720</v>
      </c>
      <c r="I260">
        <v>4010</v>
      </c>
      <c r="J260">
        <v>2760</v>
      </c>
      <c r="K260">
        <v>200</v>
      </c>
    </row>
    <row r="261" spans="1:11" x14ac:dyDescent="0.25">
      <c r="A261" t="s">
        <v>385</v>
      </c>
      <c r="B261" t="s">
        <v>311</v>
      </c>
      <c r="C261" t="s">
        <v>187</v>
      </c>
      <c r="D261" s="1">
        <v>46020.419423055559</v>
      </c>
      <c r="E261" s="1">
        <v>45979.634705023149</v>
      </c>
      <c r="F261" t="s">
        <v>39</v>
      </c>
      <c r="G261" t="s">
        <v>40</v>
      </c>
      <c r="H261">
        <v>8840</v>
      </c>
      <c r="I261">
        <v>3780</v>
      </c>
      <c r="J261">
        <v>4610</v>
      </c>
      <c r="K261">
        <v>200</v>
      </c>
    </row>
    <row r="262" spans="1:11" x14ac:dyDescent="0.25">
      <c r="A262" t="s">
        <v>386</v>
      </c>
      <c r="B262" t="s">
        <v>311</v>
      </c>
      <c r="C262" t="s">
        <v>189</v>
      </c>
      <c r="D262" s="1">
        <v>45979.660087766206</v>
      </c>
      <c r="E262" s="1"/>
      <c r="F262" t="s">
        <v>14</v>
      </c>
      <c r="G262" t="s">
        <v>18</v>
      </c>
    </row>
    <row r="263" spans="1:11" x14ac:dyDescent="0.25">
      <c r="A263" t="s">
        <v>387</v>
      </c>
      <c r="B263" t="s">
        <v>311</v>
      </c>
      <c r="C263" t="s">
        <v>191</v>
      </c>
      <c r="D263" s="1">
        <v>46020.404134363424</v>
      </c>
      <c r="E263" s="1">
        <v>46020.404134363424</v>
      </c>
      <c r="F263" t="s">
        <v>69</v>
      </c>
      <c r="G263" t="s">
        <v>70</v>
      </c>
      <c r="H263">
        <v>9730</v>
      </c>
      <c r="I263">
        <v>3990</v>
      </c>
      <c r="J263">
        <v>2760</v>
      </c>
      <c r="K263">
        <v>340</v>
      </c>
    </row>
    <row r="264" spans="1:11" x14ac:dyDescent="0.25">
      <c r="A264" t="s">
        <v>388</v>
      </c>
      <c r="B264" t="s">
        <v>311</v>
      </c>
      <c r="C264" t="s">
        <v>193</v>
      </c>
      <c r="D264" s="1">
        <v>45979.660087881944</v>
      </c>
      <c r="E264" s="1"/>
      <c r="F264" t="s">
        <v>14</v>
      </c>
      <c r="G264" t="s">
        <v>18</v>
      </c>
    </row>
    <row r="265" spans="1:11" x14ac:dyDescent="0.25">
      <c r="A265" t="s">
        <v>389</v>
      </c>
      <c r="B265" t="s">
        <v>311</v>
      </c>
      <c r="C265" t="s">
        <v>195</v>
      </c>
      <c r="D265" s="1">
        <v>46020.401118414353</v>
      </c>
      <c r="E265" s="1">
        <v>46020.401118414353</v>
      </c>
      <c r="F265" t="s">
        <v>69</v>
      </c>
      <c r="G265" t="s">
        <v>70</v>
      </c>
      <c r="H265">
        <v>9730</v>
      </c>
      <c r="I265">
        <v>3990</v>
      </c>
      <c r="J265">
        <v>2760</v>
      </c>
      <c r="K265">
        <v>200</v>
      </c>
    </row>
    <row r="266" spans="1:11" x14ac:dyDescent="0.25">
      <c r="A266" t="s">
        <v>390</v>
      </c>
      <c r="B266" t="s">
        <v>311</v>
      </c>
      <c r="C266" t="s">
        <v>197</v>
      </c>
      <c r="D266" s="1">
        <v>46020.412358483794</v>
      </c>
      <c r="E266" s="1"/>
      <c r="F266" t="s">
        <v>39</v>
      </c>
      <c r="G266" t="s">
        <v>40</v>
      </c>
    </row>
    <row r="267" spans="1:11" x14ac:dyDescent="0.25">
      <c r="A267" t="s">
        <v>391</v>
      </c>
      <c r="B267" t="s">
        <v>311</v>
      </c>
      <c r="C267" t="s">
        <v>199</v>
      </c>
      <c r="D267" s="1">
        <v>46020.420448703706</v>
      </c>
      <c r="E267" s="1">
        <v>45978.031272731481</v>
      </c>
      <c r="F267" t="s">
        <v>39</v>
      </c>
      <c r="G267" t="s">
        <v>40</v>
      </c>
      <c r="H267">
        <v>29920</v>
      </c>
      <c r="I267">
        <v>3790</v>
      </c>
      <c r="J267">
        <v>23620</v>
      </c>
    </row>
    <row r="268" spans="1:11" x14ac:dyDescent="0.25">
      <c r="A268" t="s">
        <v>392</v>
      </c>
      <c r="B268" t="s">
        <v>311</v>
      </c>
      <c r="C268" t="s">
        <v>201</v>
      </c>
      <c r="D268" s="1">
        <v>46020.409876863429</v>
      </c>
      <c r="E268" s="1"/>
      <c r="F268" t="s">
        <v>14</v>
      </c>
      <c r="G268" t="s">
        <v>202</v>
      </c>
    </row>
    <row r="269" spans="1:11" x14ac:dyDescent="0.25">
      <c r="A269" t="s">
        <v>393</v>
      </c>
      <c r="B269" t="s">
        <v>311</v>
      </c>
      <c r="C269" t="s">
        <v>204</v>
      </c>
      <c r="D269" s="1">
        <v>46020.442787569445</v>
      </c>
      <c r="E269" s="1"/>
      <c r="F269" t="s">
        <v>39</v>
      </c>
      <c r="G269" t="s">
        <v>40</v>
      </c>
    </row>
    <row r="270" spans="1:11" x14ac:dyDescent="0.25">
      <c r="A270" t="s">
        <v>394</v>
      </c>
      <c r="B270" t="s">
        <v>311</v>
      </c>
      <c r="C270" t="s">
        <v>206</v>
      </c>
      <c r="D270" s="1">
        <v>46020.458054722221</v>
      </c>
      <c r="E270" s="1"/>
      <c r="F270" t="s">
        <v>39</v>
      </c>
      <c r="G270" t="s">
        <v>40</v>
      </c>
    </row>
    <row r="271" spans="1:11" x14ac:dyDescent="0.25">
      <c r="A271" t="s">
        <v>395</v>
      </c>
      <c r="B271" t="s">
        <v>311</v>
      </c>
      <c r="C271" t="s">
        <v>208</v>
      </c>
      <c r="D271" s="1">
        <v>46020.424528356481</v>
      </c>
      <c r="E271" s="1">
        <v>45977.610796331021</v>
      </c>
      <c r="F271" t="s">
        <v>39</v>
      </c>
      <c r="G271" t="s">
        <v>40</v>
      </c>
      <c r="I271">
        <v>30500</v>
      </c>
      <c r="J271">
        <v>3790</v>
      </c>
      <c r="K271">
        <v>23030</v>
      </c>
    </row>
    <row r="272" spans="1:11" x14ac:dyDescent="0.25">
      <c r="A272" t="s">
        <v>396</v>
      </c>
      <c r="B272" t="s">
        <v>311</v>
      </c>
      <c r="C272" t="s">
        <v>210</v>
      </c>
      <c r="D272" s="1">
        <v>46020.435781932872</v>
      </c>
      <c r="E272" s="1"/>
      <c r="F272" t="s">
        <v>14</v>
      </c>
      <c r="G272" t="s">
        <v>211</v>
      </c>
    </row>
    <row r="273" spans="1:11" x14ac:dyDescent="0.25">
      <c r="A273" t="s">
        <v>397</v>
      </c>
      <c r="B273" t="s">
        <v>311</v>
      </c>
      <c r="C273" t="s">
        <v>213</v>
      </c>
      <c r="D273" s="1">
        <v>46020.420758703702</v>
      </c>
      <c r="E273" s="1">
        <v>45978.031546840277</v>
      </c>
      <c r="F273" t="s">
        <v>39</v>
      </c>
      <c r="G273" t="s">
        <v>40</v>
      </c>
      <c r="H273">
        <v>19780</v>
      </c>
      <c r="I273">
        <v>3790</v>
      </c>
      <c r="J273">
        <v>2560</v>
      </c>
      <c r="K273">
        <v>3960</v>
      </c>
    </row>
    <row r="274" spans="1:11" x14ac:dyDescent="0.25">
      <c r="A274" t="s">
        <v>398</v>
      </c>
      <c r="B274" t="s">
        <v>311</v>
      </c>
      <c r="C274" t="s">
        <v>215</v>
      </c>
      <c r="D274" s="1">
        <v>46020.406264687503</v>
      </c>
      <c r="E274" s="1">
        <v>46020.406264687503</v>
      </c>
      <c r="F274" t="s">
        <v>69</v>
      </c>
      <c r="G274" t="s">
        <v>70</v>
      </c>
      <c r="H274">
        <v>10440</v>
      </c>
      <c r="I274">
        <v>3990</v>
      </c>
      <c r="J274">
        <v>2440</v>
      </c>
      <c r="K274">
        <v>4040</v>
      </c>
    </row>
    <row r="275" spans="1:11" x14ac:dyDescent="0.25">
      <c r="A275" t="s">
        <v>399</v>
      </c>
      <c r="B275" t="s">
        <v>311</v>
      </c>
      <c r="C275" t="s">
        <v>38</v>
      </c>
      <c r="D275" s="1">
        <v>46020.449044374996</v>
      </c>
      <c r="E275" s="1"/>
      <c r="F275" t="s">
        <v>39</v>
      </c>
      <c r="G275" t="s">
        <v>40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26EED0-1583-4DC3-B1DF-EAB6BB024D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DESTINATION CHARGES</vt:lpstr>
      <vt:lpstr>hapag_breakdowns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Galvao</dc:creator>
  <cp:lastModifiedBy>Lucas Galvao</cp:lastModifiedBy>
  <dcterms:created xsi:type="dcterms:W3CDTF">2025-12-30T14:56:21Z</dcterms:created>
  <dcterms:modified xsi:type="dcterms:W3CDTF">2026-01-20T00:15:11Z</dcterms:modified>
</cp:coreProperties>
</file>